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0" yWindow="0" windowWidth="25605" windowHeight="10500"/>
  </bookViews>
  <sheets>
    <sheet name="Шартномалар" sheetId="6" r:id="rId1"/>
  </sheets>
  <definedNames>
    <definedName name="_xlnm._FilterDatabase" localSheetId="0" hidden="1">Шартномалар!$A$3:$N$32</definedName>
    <definedName name="_xlnm.Print_Area" localSheetId="0">Шартномалар!$A$1:$N$21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6" l="1"/>
  <c r="J23" i="6"/>
  <c r="J22" i="6"/>
  <c r="J20" i="6"/>
  <c r="J19" i="6"/>
  <c r="J12" i="6" l="1"/>
  <c r="J24" i="6" l="1"/>
  <c r="J25" i="6"/>
  <c r="J26" i="6"/>
  <c r="J27" i="6"/>
  <c r="J28" i="6"/>
  <c r="J29" i="6"/>
  <c r="I19" i="6"/>
  <c r="J8" i="6" l="1"/>
  <c r="J9" i="6"/>
  <c r="J13" i="6"/>
  <c r="I6" i="6" l="1"/>
  <c r="J6" i="6" s="1"/>
  <c r="I10" i="6"/>
  <c r="J10" i="6" s="1"/>
  <c r="I11" i="6"/>
  <c r="J11" i="6" s="1"/>
  <c r="I14" i="6"/>
  <c r="J14" i="6" s="1"/>
  <c r="I15" i="6"/>
  <c r="J15" i="6" s="1"/>
  <c r="I16" i="6"/>
  <c r="J16" i="6" s="1"/>
  <c r="I17" i="6"/>
  <c r="J17" i="6" s="1"/>
  <c r="I18" i="6"/>
  <c r="J18" i="6" s="1"/>
  <c r="I7" i="6"/>
  <c r="J7" i="6" s="1"/>
</calcChain>
</file>

<file path=xl/sharedStrings.xml><?xml version="1.0" encoding="utf-8"?>
<sst xmlns="http://schemas.openxmlformats.org/spreadsheetml/2006/main" count="215" uniqueCount="87">
  <si>
    <t>№</t>
  </si>
  <si>
    <t xml:space="preserve"> </t>
  </si>
  <si>
    <t>soʻm</t>
  </si>
  <si>
    <t>Hisobot davri 
(oy)</t>
  </si>
  <si>
    <t>Iqtisodiy tasnif boʻyicha xarajat moddasi</t>
  </si>
  <si>
    <t>Xarid qilinishi lozim boʻlgan tovar (xizmat)lar nomi</t>
  </si>
  <si>
    <t>Rejalashtirilgan mablagʻ</t>
  </si>
  <si>
    <t>Xarid qilinshi rejalashtirilgan tovar (xizmat)lar oʻlchov birligi (imkoniyat darajasida)</t>
  </si>
  <si>
    <t>Xarid qilingan tovar (xizmat)lar miqdori</t>
  </si>
  <si>
    <t>Narxi</t>
  </si>
  <si>
    <t>Summasi</t>
  </si>
  <si>
    <t>Maqsadi (markaziy apparat yoki tassarufidagi muassalar ehtiyoji uchun)</t>
  </si>
  <si>
    <t>Amalga oshirilgan xarid turi (birja, tender savdolari, toʻgʻridan-toʻgʻri va x.k.)</t>
  </si>
  <si>
    <t>Tovar (xizmat)lar yetkazib beruvchi nomi</t>
  </si>
  <si>
    <t>Xarid qilingan tovarlar (xizmatlar)ning joylarga yetkazilishi (%)</t>
  </si>
  <si>
    <t>mart</t>
  </si>
  <si>
    <t>Markaziy apparat</t>
  </si>
  <si>
    <t>Mablagʻlar manbai (budjet, budjetdan tashqari, jamgʻarma mablagʻlari</t>
  </si>
  <si>
    <t>budjetdan tashqari</t>
  </si>
  <si>
    <t>1-chorak</t>
  </si>
  <si>
    <t>budjetdan tashqari hisobidan</t>
  </si>
  <si>
    <t>л</t>
  </si>
  <si>
    <t>Услуга по замене запчастей автомобиля</t>
  </si>
  <si>
    <t>yanvar</t>
  </si>
  <si>
    <t>fevral</t>
  </si>
  <si>
    <t>усл. ед</t>
  </si>
  <si>
    <t>Услуга по доступу к сети 
Интернет</t>
  </si>
  <si>
    <t>Услуга по доступу к сети 
Интернет (VPN)</t>
  </si>
  <si>
    <t>Возмещению расходов по коммунальному обслуживанию арендуемого помещения</t>
  </si>
  <si>
    <t>Услуга по платному телевидению</t>
  </si>
  <si>
    <t>Абонентская плата за  электрон-ной системы  «Ijro.gov.uz»</t>
  </si>
  <si>
    <t>Услуга по техническому сопровождению программа ARGOS</t>
  </si>
  <si>
    <t>Предоставление консультативных услуг или экспертного заключения по вопросам информационных технологий, связанных с системами информационных технологий и программным обеспечением</t>
  </si>
  <si>
    <t xml:space="preserve">Услуга по сотовой (мобильной) связи </t>
  </si>
  <si>
    <t>683 988,00</t>
  </si>
  <si>
    <t>27 000 000</t>
  </si>
  <si>
    <t>45 936 000,00</t>
  </si>
  <si>
    <t>7 656 000,00</t>
  </si>
  <si>
    <t>:Услуга по технической поддержке информационных технологий</t>
  </si>
  <si>
    <t xml:space="preserve">Услуга по технической поддержке информационных технологий </t>
  </si>
  <si>
    <t>усл. Ед</t>
  </si>
  <si>
    <t>40 921 830,00</t>
  </si>
  <si>
    <t>Бензин автомобильный</t>
  </si>
  <si>
    <t>7 341 000</t>
  </si>
  <si>
    <r>
      <t xml:space="preserve">Davlat aktivlarini boshqarish agentligi xuzuridagi Davlat mulki obyektlaridan samarali foydalanish markazining budjet va budjetdan tashqari mablagʻlari hisobiga 2026-yil </t>
    </r>
    <r>
      <rPr>
        <b/>
        <sz val="14"/>
        <color rgb="FFFF0000"/>
        <rFont val="Times New Roman"/>
        <family val="1"/>
        <charset val="204"/>
      </rPr>
      <t xml:space="preserve">yanvar- mart </t>
    </r>
    <r>
      <rPr>
        <b/>
        <sz val="14"/>
        <color theme="1"/>
        <rFont val="Times New Roman"/>
        <family val="1"/>
        <charset val="204"/>
      </rPr>
      <t xml:space="preserve"> oylarida amalga oshirilgan davlat xaridlari toʻgʻrisida 
MAʼLUMOT</t>
    </r>
  </si>
  <si>
    <t>MK DIRECT MCHJ</t>
  </si>
  <si>
    <t>O`ZBEKISTON RESPUBLIKASI DAVLAT AKTIVLARINI BOSHQARISH AGE</t>
  </si>
  <si>
    <t>ООО UNG Petro</t>
  </si>
  <si>
    <t>"KIBERXAVFSIZLIK MARKAZI" DUK,</t>
  </si>
  <si>
    <t>Научно-информационный центр "Янги технологиялар"</t>
  </si>
  <si>
    <t>ООО REALSOFT,</t>
  </si>
  <si>
    <t>UNIVERSAL MOBILE SYSTEMS MCHJ,</t>
  </si>
  <si>
    <t>АО O`ZBEKTELEKOM,</t>
  </si>
  <si>
    <t>OOO "Единый интегратор - UZINFOCOM",</t>
  </si>
  <si>
    <t>ООО UNICON-SOFT</t>
  </si>
  <si>
    <t>"RADIOALOQA RADIOESHITTIRISH VA TELEVIDENIE МARKAZI" MCHJ,</t>
  </si>
  <si>
    <t>Единый поставщик</t>
  </si>
  <si>
    <t>Прямой электронный договор</t>
  </si>
  <si>
    <t>CARAT-SUV MCHJ</t>
  </si>
  <si>
    <t>O‘ZBEKISTON RESPUBLIKASI ADLIYA VAZIRLIGI QOSHIDAGI "ADOLAT" MILLIY HUQUQIY AXBOROT MARKAZI</t>
  </si>
  <si>
    <t>POWER MAX GROUP MCHJ</t>
  </si>
  <si>
    <t>ООО UMAKANSUL BUSINESS</t>
  </si>
  <si>
    <t>NEW PRICE OK</t>
  </si>
  <si>
    <t>DESKFORM MCHJ</t>
  </si>
  <si>
    <t>электронный магазин</t>
  </si>
  <si>
    <t>Услуга по перевозке (доставке) населению питьевой воды</t>
  </si>
  <si>
    <t>Книги печатные</t>
  </si>
  <si>
    <t>Ручка канцелярская</t>
  </si>
  <si>
    <t>Карандаши простые и цветные с грифелями в твердой оболочке</t>
  </si>
  <si>
    <t>Маркер</t>
  </si>
  <si>
    <t>Скобы для степлера канцелярского</t>
  </si>
  <si>
    <t>Бумага для офисной техники белая</t>
  </si>
  <si>
    <t>Точилка канцелярская для карандашей</t>
  </si>
  <si>
    <t>шт</t>
  </si>
  <si>
    <t>компл</t>
  </si>
  <si>
    <t>пачк.</t>
  </si>
  <si>
    <t>пачка</t>
  </si>
  <si>
    <t>4252300</t>
  </si>
  <si>
    <t>4252110</t>
  </si>
  <si>
    <t>4234940</t>
  </si>
  <si>
    <t>4234100</t>
  </si>
  <si>
    <t>4252120</t>
  </si>
  <si>
    <t>4299990</t>
  </si>
  <si>
    <t>4292100</t>
  </si>
  <si>
    <t>4252500</t>
  </si>
  <si>
    <t>4292200</t>
  </si>
  <si>
    <t>Жами 1 квартал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</si>
</sst>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0"/>
      <name val="Arial"/>
      <family val="2"/>
    </font>
    <font>
      <sz val="14"/>
      <name val="Times New Roman"/>
      <family val="1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vertical="center"/>
    </xf>
    <xf numFmtId="1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" fontId="6" fillId="0" borderId="1" xfId="0" applyNumberFormat="1" applyFont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0" xfId="0" applyNumberFormat="1" applyFont="1" applyFill="1" applyAlignment="1">
      <alignment horizontal="right" vertical="center"/>
    </xf>
    <xf numFmtId="4" fontId="6" fillId="0" borderId="1" xfId="0" applyNumberFormat="1" applyFont="1" applyFill="1" applyBorder="1" applyAlignment="1">
      <alignment horizontal="right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4" fontId="2" fillId="0" borderId="1" xfId="0" applyNumberFormat="1" applyFont="1" applyFill="1" applyBorder="1" applyAlignment="1">
      <alignment horizontal="right" vertical="center"/>
    </xf>
    <xf numFmtId="4" fontId="1" fillId="0" borderId="0" xfId="0" applyNumberFormat="1" applyFont="1" applyFill="1" applyAlignment="1">
      <alignment horizontal="right" vertical="center"/>
    </xf>
  </cellXfs>
  <cellStyles count="3">
    <cellStyle name="Normal" xfId="1"/>
    <cellStyle name="Обычный" xfId="0" builtinId="0"/>
    <cellStyle name="Обычный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tabSelected="1" zoomScale="70" zoomScaleNormal="70" zoomScaleSheetLayoutView="70" workbookViewId="0">
      <pane ySplit="3" topLeftCell="A22" activePane="bottomLeft" state="frozen"/>
      <selection pane="bottomLeft" activeCell="M12" sqref="M12"/>
    </sheetView>
  </sheetViews>
  <sheetFormatPr defaultColWidth="9.140625" defaultRowHeight="18.75" x14ac:dyDescent="0.25"/>
  <cols>
    <col min="1" max="1" width="5.140625" style="7" customWidth="1"/>
    <col min="2" max="2" width="10.140625" style="7" customWidth="1"/>
    <col min="3" max="3" width="16" style="8" customWidth="1"/>
    <col min="4" max="4" width="43" style="7" customWidth="1"/>
    <col min="5" max="5" width="22.7109375" style="9" customWidth="1"/>
    <col min="6" max="6" width="20.28515625" style="7" customWidth="1"/>
    <col min="7" max="7" width="19.5703125" style="7" customWidth="1"/>
    <col min="8" max="8" width="12" style="7" customWidth="1"/>
    <col min="9" max="9" width="21.140625" style="12" customWidth="1"/>
    <col min="10" max="10" width="22.140625" style="26" customWidth="1"/>
    <col min="11" max="11" width="27.42578125" style="7" customWidth="1"/>
    <col min="12" max="12" width="24.85546875" style="7" customWidth="1"/>
    <col min="13" max="13" width="50.42578125" style="18" customWidth="1"/>
    <col min="14" max="14" width="18.5703125" style="7" customWidth="1"/>
    <col min="15" max="16384" width="9.140625" style="7"/>
  </cols>
  <sheetData>
    <row r="1" spans="1:14" x14ac:dyDescent="0.25">
      <c r="A1" s="14" t="s">
        <v>44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25">
      <c r="H2" s="7" t="s">
        <v>1</v>
      </c>
      <c r="N2" s="2" t="s">
        <v>2</v>
      </c>
    </row>
    <row r="3" spans="1:14" s="8" customFormat="1" ht="123.75" customHeight="1" x14ac:dyDescent="0.25">
      <c r="A3" s="1" t="s">
        <v>0</v>
      </c>
      <c r="B3" s="1" t="s">
        <v>3</v>
      </c>
      <c r="C3" s="1" t="s">
        <v>4</v>
      </c>
      <c r="D3" s="1" t="s">
        <v>5</v>
      </c>
      <c r="E3" s="3" t="s">
        <v>6</v>
      </c>
      <c r="F3" s="1" t="s">
        <v>17</v>
      </c>
      <c r="G3" s="1" t="s">
        <v>7</v>
      </c>
      <c r="H3" s="1" t="s">
        <v>8</v>
      </c>
      <c r="I3" s="3" t="s">
        <v>9</v>
      </c>
      <c r="J3" s="20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5">
      <c r="A4" s="15" t="s">
        <v>20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7"/>
    </row>
    <row r="5" spans="1:14" x14ac:dyDescent="0.25">
      <c r="A5" s="15" t="s">
        <v>19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</row>
    <row r="6" spans="1:14" ht="37.5" x14ac:dyDescent="0.25">
      <c r="A6" s="5">
        <v>1</v>
      </c>
      <c r="B6" s="5" t="s">
        <v>23</v>
      </c>
      <c r="C6" s="6">
        <v>4234940</v>
      </c>
      <c r="D6" s="10" t="s">
        <v>30</v>
      </c>
      <c r="E6" s="11">
        <v>20562000</v>
      </c>
      <c r="F6" s="1" t="s">
        <v>18</v>
      </c>
      <c r="G6" s="10" t="s">
        <v>25</v>
      </c>
      <c r="H6" s="10">
        <v>12</v>
      </c>
      <c r="I6" s="11">
        <f>E6/H6</f>
        <v>1713500</v>
      </c>
      <c r="J6" s="27">
        <f>H6*I6</f>
        <v>20562000</v>
      </c>
      <c r="K6" s="1" t="s">
        <v>16</v>
      </c>
      <c r="L6" s="10" t="s">
        <v>56</v>
      </c>
      <c r="M6" s="19" t="s">
        <v>54</v>
      </c>
      <c r="N6" s="4">
        <v>1</v>
      </c>
    </row>
    <row r="7" spans="1:14" ht="56.25" x14ac:dyDescent="0.25">
      <c r="A7" s="5">
        <v>2</v>
      </c>
      <c r="B7" s="5" t="s">
        <v>24</v>
      </c>
      <c r="C7" s="24" t="s">
        <v>79</v>
      </c>
      <c r="D7" s="10" t="s">
        <v>31</v>
      </c>
      <c r="E7" s="11">
        <v>7200000</v>
      </c>
      <c r="F7" s="1" t="s">
        <v>18</v>
      </c>
      <c r="G7" s="10" t="s">
        <v>25</v>
      </c>
      <c r="H7" s="10">
        <v>12</v>
      </c>
      <c r="I7" s="11">
        <f>E7/H7</f>
        <v>600000</v>
      </c>
      <c r="J7" s="27">
        <f t="shared" ref="J7:J17" si="0">H7*I7</f>
        <v>7200000</v>
      </c>
      <c r="K7" s="1" t="s">
        <v>16</v>
      </c>
      <c r="L7" s="10" t="s">
        <v>56</v>
      </c>
      <c r="M7" s="19" t="s">
        <v>53</v>
      </c>
      <c r="N7" s="4">
        <v>1</v>
      </c>
    </row>
    <row r="8" spans="1:14" ht="56.25" x14ac:dyDescent="0.25">
      <c r="A8" s="5">
        <v>3</v>
      </c>
      <c r="B8" s="5" t="s">
        <v>24</v>
      </c>
      <c r="C8" s="24" t="s">
        <v>82</v>
      </c>
      <c r="D8" s="10" t="s">
        <v>29</v>
      </c>
      <c r="E8" s="11" t="s">
        <v>34</v>
      </c>
      <c r="F8" s="1" t="s">
        <v>18</v>
      </c>
      <c r="G8" s="10" t="s">
        <v>25</v>
      </c>
      <c r="H8" s="10">
        <v>12</v>
      </c>
      <c r="I8" s="11">
        <v>56999</v>
      </c>
      <c r="J8" s="27">
        <f t="shared" si="0"/>
        <v>683988</v>
      </c>
      <c r="K8" s="1" t="s">
        <v>16</v>
      </c>
      <c r="L8" s="10" t="s">
        <v>57</v>
      </c>
      <c r="M8" s="19" t="s">
        <v>55</v>
      </c>
      <c r="N8" s="4">
        <v>1</v>
      </c>
    </row>
    <row r="9" spans="1:14" ht="56.25" x14ac:dyDescent="0.25">
      <c r="A9" s="5">
        <v>4</v>
      </c>
      <c r="B9" s="5" t="s">
        <v>24</v>
      </c>
      <c r="C9" s="24" t="s">
        <v>85</v>
      </c>
      <c r="D9" s="10" t="s">
        <v>26</v>
      </c>
      <c r="E9" s="11" t="s">
        <v>35</v>
      </c>
      <c r="F9" s="1" t="s">
        <v>18</v>
      </c>
      <c r="G9" s="10" t="s">
        <v>25</v>
      </c>
      <c r="H9" s="10">
        <v>12</v>
      </c>
      <c r="I9" s="11">
        <v>2250000</v>
      </c>
      <c r="J9" s="27">
        <f t="shared" si="0"/>
        <v>27000000</v>
      </c>
      <c r="K9" s="1" t="s">
        <v>16</v>
      </c>
      <c r="L9" s="10" t="s">
        <v>57</v>
      </c>
      <c r="M9" s="19" t="s">
        <v>52</v>
      </c>
      <c r="N9" s="4">
        <v>1</v>
      </c>
    </row>
    <row r="10" spans="1:14" ht="56.25" x14ac:dyDescent="0.25">
      <c r="A10" s="5">
        <v>5</v>
      </c>
      <c r="B10" s="5" t="s">
        <v>24</v>
      </c>
      <c r="C10" s="24" t="s">
        <v>85</v>
      </c>
      <c r="D10" s="10" t="s">
        <v>27</v>
      </c>
      <c r="E10" s="11">
        <v>1258056</v>
      </c>
      <c r="F10" s="1" t="s">
        <v>18</v>
      </c>
      <c r="G10" s="10" t="s">
        <v>25</v>
      </c>
      <c r="H10" s="10">
        <v>12</v>
      </c>
      <c r="I10" s="11">
        <f t="shared" ref="I10:I19" si="1">E10/H10</f>
        <v>104838</v>
      </c>
      <c r="J10" s="27">
        <f t="shared" si="0"/>
        <v>1258056</v>
      </c>
      <c r="K10" s="1" t="s">
        <v>16</v>
      </c>
      <c r="L10" s="10" t="s">
        <v>57</v>
      </c>
      <c r="M10" s="19" t="s">
        <v>52</v>
      </c>
      <c r="N10" s="4">
        <v>1</v>
      </c>
    </row>
    <row r="11" spans="1:14" ht="56.25" x14ac:dyDescent="0.25">
      <c r="A11" s="5">
        <v>6</v>
      </c>
      <c r="B11" s="5" t="s">
        <v>24</v>
      </c>
      <c r="C11" s="24" t="s">
        <v>85</v>
      </c>
      <c r="D11" s="10" t="s">
        <v>27</v>
      </c>
      <c r="E11" s="11">
        <v>1260000</v>
      </c>
      <c r="F11" s="1" t="s">
        <v>18</v>
      </c>
      <c r="G11" s="10" t="s">
        <v>25</v>
      </c>
      <c r="H11" s="10">
        <v>12</v>
      </c>
      <c r="I11" s="11">
        <f t="shared" si="1"/>
        <v>105000</v>
      </c>
      <c r="J11" s="27">
        <f t="shared" si="0"/>
        <v>1260000</v>
      </c>
      <c r="K11" s="1" t="s">
        <v>16</v>
      </c>
      <c r="L11" s="10" t="s">
        <v>57</v>
      </c>
      <c r="M11" s="19" t="s">
        <v>52</v>
      </c>
      <c r="N11" s="4">
        <v>1</v>
      </c>
    </row>
    <row r="12" spans="1:14" ht="56.25" x14ac:dyDescent="0.25">
      <c r="A12" s="5">
        <v>7</v>
      </c>
      <c r="B12" s="5" t="s">
        <v>24</v>
      </c>
      <c r="C12" s="24" t="s">
        <v>83</v>
      </c>
      <c r="D12" s="10" t="s">
        <v>33</v>
      </c>
      <c r="E12" s="11" t="s">
        <v>36</v>
      </c>
      <c r="F12" s="1" t="s">
        <v>18</v>
      </c>
      <c r="G12" s="10" t="s">
        <v>25</v>
      </c>
      <c r="H12" s="10">
        <v>12</v>
      </c>
      <c r="I12" s="11">
        <v>3828000</v>
      </c>
      <c r="J12" s="27">
        <f t="shared" si="0"/>
        <v>45936000</v>
      </c>
      <c r="K12" s="1" t="s">
        <v>16</v>
      </c>
      <c r="L12" s="10" t="s">
        <v>57</v>
      </c>
      <c r="M12" s="19" t="s">
        <v>52</v>
      </c>
      <c r="N12" s="4">
        <v>1</v>
      </c>
    </row>
    <row r="13" spans="1:14" ht="56.25" x14ac:dyDescent="0.25">
      <c r="A13" s="5">
        <v>8</v>
      </c>
      <c r="B13" s="5" t="s">
        <v>24</v>
      </c>
      <c r="C13" s="24" t="s">
        <v>83</v>
      </c>
      <c r="D13" s="10" t="s">
        <v>33</v>
      </c>
      <c r="E13" s="11" t="s">
        <v>37</v>
      </c>
      <c r="F13" s="1" t="s">
        <v>18</v>
      </c>
      <c r="G13" s="10" t="s">
        <v>25</v>
      </c>
      <c r="H13" s="10">
        <v>12</v>
      </c>
      <c r="I13" s="11">
        <v>638000</v>
      </c>
      <c r="J13" s="27">
        <f t="shared" si="0"/>
        <v>7656000</v>
      </c>
      <c r="K13" s="1" t="s">
        <v>16</v>
      </c>
      <c r="L13" s="10" t="s">
        <v>57</v>
      </c>
      <c r="M13" s="19" t="s">
        <v>52</v>
      </c>
      <c r="N13" s="4">
        <v>1</v>
      </c>
    </row>
    <row r="14" spans="1:14" ht="56.25" x14ac:dyDescent="0.25">
      <c r="A14" s="5">
        <v>9</v>
      </c>
      <c r="B14" s="5" t="s">
        <v>24</v>
      </c>
      <c r="C14" s="24" t="s">
        <v>84</v>
      </c>
      <c r="D14" s="10" t="s">
        <v>42</v>
      </c>
      <c r="E14" s="11">
        <v>21600000</v>
      </c>
      <c r="F14" s="1" t="s">
        <v>18</v>
      </c>
      <c r="G14" s="10" t="s">
        <v>21</v>
      </c>
      <c r="H14" s="10">
        <v>1600</v>
      </c>
      <c r="I14" s="11">
        <f t="shared" si="1"/>
        <v>13500</v>
      </c>
      <c r="J14" s="27">
        <f t="shared" si="0"/>
        <v>21600000</v>
      </c>
      <c r="K14" s="1" t="s">
        <v>16</v>
      </c>
      <c r="L14" s="10" t="s">
        <v>57</v>
      </c>
      <c r="M14" s="19" t="s">
        <v>47</v>
      </c>
      <c r="N14" s="4">
        <v>1</v>
      </c>
    </row>
    <row r="15" spans="1:14" ht="56.25" x14ac:dyDescent="0.25">
      <c r="A15" s="5">
        <v>10</v>
      </c>
      <c r="B15" s="5" t="s">
        <v>24</v>
      </c>
      <c r="C15" s="24" t="s">
        <v>83</v>
      </c>
      <c r="D15" s="10" t="s">
        <v>33</v>
      </c>
      <c r="E15" s="11">
        <v>360000</v>
      </c>
      <c r="F15" s="1" t="s">
        <v>18</v>
      </c>
      <c r="G15" s="10" t="s">
        <v>25</v>
      </c>
      <c r="H15" s="10">
        <v>12</v>
      </c>
      <c r="I15" s="11">
        <f t="shared" si="1"/>
        <v>30000</v>
      </c>
      <c r="J15" s="27">
        <f t="shared" si="0"/>
        <v>360000</v>
      </c>
      <c r="K15" s="1" t="s">
        <v>16</v>
      </c>
      <c r="L15" s="10" t="s">
        <v>57</v>
      </c>
      <c r="M15" s="19" t="s">
        <v>51</v>
      </c>
      <c r="N15" s="4">
        <v>1</v>
      </c>
    </row>
    <row r="16" spans="1:14" ht="56.25" x14ac:dyDescent="0.25">
      <c r="A16" s="5">
        <v>11</v>
      </c>
      <c r="B16" s="5" t="s">
        <v>24</v>
      </c>
      <c r="C16" s="24" t="s">
        <v>82</v>
      </c>
      <c r="D16" s="10" t="s">
        <v>28</v>
      </c>
      <c r="E16" s="11">
        <v>722805384</v>
      </c>
      <c r="F16" s="1" t="s">
        <v>18</v>
      </c>
      <c r="G16" s="10" t="s">
        <v>25</v>
      </c>
      <c r="H16" s="10">
        <v>12</v>
      </c>
      <c r="I16" s="11">
        <f t="shared" si="1"/>
        <v>60233782</v>
      </c>
      <c r="J16" s="27">
        <f t="shared" si="0"/>
        <v>722805384</v>
      </c>
      <c r="K16" s="1" t="s">
        <v>16</v>
      </c>
      <c r="L16" s="10" t="s">
        <v>57</v>
      </c>
      <c r="M16" s="19" t="s">
        <v>46</v>
      </c>
      <c r="N16" s="4">
        <v>1</v>
      </c>
    </row>
    <row r="17" spans="1:14" ht="93.75" customHeight="1" x14ac:dyDescent="0.25">
      <c r="A17" s="5">
        <v>12</v>
      </c>
      <c r="B17" s="5" t="s">
        <v>24</v>
      </c>
      <c r="C17" s="24" t="s">
        <v>79</v>
      </c>
      <c r="D17" s="10" t="s">
        <v>38</v>
      </c>
      <c r="E17" s="11">
        <v>200000000</v>
      </c>
      <c r="F17" s="1" t="s">
        <v>18</v>
      </c>
      <c r="G17" s="10" t="s">
        <v>25</v>
      </c>
      <c r="H17" s="10">
        <v>1</v>
      </c>
      <c r="I17" s="11">
        <f t="shared" si="1"/>
        <v>200000000</v>
      </c>
      <c r="J17" s="27">
        <f t="shared" si="0"/>
        <v>200000000</v>
      </c>
      <c r="K17" s="1" t="s">
        <v>16</v>
      </c>
      <c r="L17" s="10" t="s">
        <v>56</v>
      </c>
      <c r="M17" s="19" t="s">
        <v>50</v>
      </c>
      <c r="N17" s="4">
        <v>1</v>
      </c>
    </row>
    <row r="18" spans="1:14" ht="93.75" customHeight="1" x14ac:dyDescent="0.25">
      <c r="A18" s="5">
        <v>13</v>
      </c>
      <c r="B18" s="5" t="s">
        <v>15</v>
      </c>
      <c r="C18" s="24" t="s">
        <v>79</v>
      </c>
      <c r="D18" s="10" t="s">
        <v>39</v>
      </c>
      <c r="E18" s="11">
        <v>4944000</v>
      </c>
      <c r="F18" s="1" t="s">
        <v>18</v>
      </c>
      <c r="G18" s="10" t="s">
        <v>40</v>
      </c>
      <c r="H18" s="10">
        <v>1</v>
      </c>
      <c r="I18" s="11">
        <f t="shared" si="1"/>
        <v>4944000</v>
      </c>
      <c r="J18" s="27">
        <f>H18*I18</f>
        <v>4944000</v>
      </c>
      <c r="K18" s="1" t="s">
        <v>16</v>
      </c>
      <c r="L18" s="10" t="s">
        <v>56</v>
      </c>
      <c r="M18" s="19" t="s">
        <v>49</v>
      </c>
      <c r="N18" s="4">
        <v>1</v>
      </c>
    </row>
    <row r="19" spans="1:14" ht="93.75" customHeight="1" x14ac:dyDescent="0.25">
      <c r="A19" s="5">
        <v>14</v>
      </c>
      <c r="B19" s="5" t="s">
        <v>15</v>
      </c>
      <c r="C19" s="6">
        <v>4292300</v>
      </c>
      <c r="D19" s="10" t="s">
        <v>32</v>
      </c>
      <c r="E19" s="11">
        <v>263125390</v>
      </c>
      <c r="F19" s="1" t="s">
        <v>18</v>
      </c>
      <c r="G19" s="10" t="s">
        <v>40</v>
      </c>
      <c r="H19" s="10">
        <v>1</v>
      </c>
      <c r="I19" s="11">
        <f t="shared" si="1"/>
        <v>263125390</v>
      </c>
      <c r="J19" s="27">
        <f>H19*I19</f>
        <v>263125390</v>
      </c>
      <c r="K19" s="1" t="s">
        <v>16</v>
      </c>
      <c r="L19" s="10" t="s">
        <v>56</v>
      </c>
      <c r="M19" s="19" t="s">
        <v>48</v>
      </c>
      <c r="N19" s="4">
        <v>1</v>
      </c>
    </row>
    <row r="20" spans="1:14" ht="93.75" customHeight="1" x14ac:dyDescent="0.25">
      <c r="A20" s="5">
        <v>15</v>
      </c>
      <c r="B20" s="5" t="s">
        <v>15</v>
      </c>
      <c r="C20" s="6">
        <v>4292300</v>
      </c>
      <c r="D20" s="10" t="s">
        <v>32</v>
      </c>
      <c r="E20" s="11" t="s">
        <v>41</v>
      </c>
      <c r="F20" s="1" t="s">
        <v>18</v>
      </c>
      <c r="G20" s="10" t="s">
        <v>40</v>
      </c>
      <c r="H20" s="10">
        <v>1</v>
      </c>
      <c r="I20" s="11">
        <v>40921830</v>
      </c>
      <c r="J20" s="27">
        <f>H20*I20</f>
        <v>40921830</v>
      </c>
      <c r="K20" s="1" t="s">
        <v>16</v>
      </c>
      <c r="L20" s="10" t="s">
        <v>56</v>
      </c>
      <c r="M20" s="19" t="s">
        <v>48</v>
      </c>
      <c r="N20" s="4">
        <v>1</v>
      </c>
    </row>
    <row r="21" spans="1:14" ht="93.75" customHeight="1" x14ac:dyDescent="0.25">
      <c r="A21" s="5">
        <v>16</v>
      </c>
      <c r="B21" s="5" t="s">
        <v>15</v>
      </c>
      <c r="C21" s="24" t="s">
        <v>80</v>
      </c>
      <c r="D21" s="10" t="s">
        <v>22</v>
      </c>
      <c r="E21" s="11" t="s">
        <v>43</v>
      </c>
      <c r="F21" s="1" t="s">
        <v>18</v>
      </c>
      <c r="G21" s="10" t="s">
        <v>40</v>
      </c>
      <c r="H21" s="10">
        <v>1</v>
      </c>
      <c r="I21" s="11" t="s">
        <v>43</v>
      </c>
      <c r="J21" s="27">
        <v>7341000</v>
      </c>
      <c r="K21" s="1" t="s">
        <v>16</v>
      </c>
      <c r="L21" s="10" t="s">
        <v>57</v>
      </c>
      <c r="M21" s="19" t="s">
        <v>45</v>
      </c>
      <c r="N21" s="4">
        <v>1</v>
      </c>
    </row>
    <row r="22" spans="1:14" ht="37.5" x14ac:dyDescent="0.25">
      <c r="A22" s="5">
        <v>17</v>
      </c>
      <c r="B22" s="5" t="s">
        <v>15</v>
      </c>
      <c r="C22" s="24" t="s">
        <v>77</v>
      </c>
      <c r="D22" s="10" t="s">
        <v>65</v>
      </c>
      <c r="E22" s="11">
        <v>900000</v>
      </c>
      <c r="F22" s="1" t="s">
        <v>18</v>
      </c>
      <c r="G22" s="10" t="s">
        <v>73</v>
      </c>
      <c r="H22" s="10">
        <v>50</v>
      </c>
      <c r="I22" s="11">
        <v>17000</v>
      </c>
      <c r="J22" s="28">
        <f>H22*I22</f>
        <v>850000</v>
      </c>
      <c r="K22" s="1" t="s">
        <v>16</v>
      </c>
      <c r="L22" s="13" t="s">
        <v>64</v>
      </c>
      <c r="M22" s="19" t="s">
        <v>58</v>
      </c>
      <c r="N22" s="4">
        <v>1</v>
      </c>
    </row>
    <row r="23" spans="1:14" ht="75" x14ac:dyDescent="0.25">
      <c r="A23" s="5">
        <v>18</v>
      </c>
      <c r="B23" s="5" t="s">
        <v>15</v>
      </c>
      <c r="C23" s="6">
        <v>4299990</v>
      </c>
      <c r="D23" s="10" t="s">
        <v>66</v>
      </c>
      <c r="E23" s="11">
        <v>9860000</v>
      </c>
      <c r="F23" s="1" t="s">
        <v>18</v>
      </c>
      <c r="G23" s="10" t="s">
        <v>74</v>
      </c>
      <c r="H23" s="10">
        <v>17</v>
      </c>
      <c r="I23" s="11">
        <v>460000</v>
      </c>
      <c r="J23" s="28">
        <f>H23*I23</f>
        <v>7820000</v>
      </c>
      <c r="K23" s="1" t="s">
        <v>16</v>
      </c>
      <c r="L23" s="13" t="s">
        <v>64</v>
      </c>
      <c r="M23" s="19" t="s">
        <v>59</v>
      </c>
      <c r="N23" s="4">
        <v>1</v>
      </c>
    </row>
    <row r="24" spans="1:14" ht="37.5" x14ac:dyDescent="0.25">
      <c r="A24" s="5">
        <v>19</v>
      </c>
      <c r="B24" s="5" t="s">
        <v>15</v>
      </c>
      <c r="C24" s="24" t="s">
        <v>78</v>
      </c>
      <c r="D24" s="10" t="s">
        <v>67</v>
      </c>
      <c r="E24" s="11">
        <v>1750000</v>
      </c>
      <c r="F24" s="1" t="s">
        <v>18</v>
      </c>
      <c r="G24" s="10" t="s">
        <v>73</v>
      </c>
      <c r="H24" s="10">
        <v>50</v>
      </c>
      <c r="I24" s="11">
        <v>23888</v>
      </c>
      <c r="J24" s="28">
        <f t="shared" ref="J23:J29" si="2">H24*I24</f>
        <v>1194400</v>
      </c>
      <c r="K24" s="1" t="s">
        <v>16</v>
      </c>
      <c r="L24" s="13" t="s">
        <v>64</v>
      </c>
      <c r="M24" s="19" t="s">
        <v>60</v>
      </c>
      <c r="N24" s="4">
        <v>1</v>
      </c>
    </row>
    <row r="25" spans="1:14" ht="37.5" x14ac:dyDescent="0.25">
      <c r="A25" s="5">
        <v>20</v>
      </c>
      <c r="B25" s="5" t="s">
        <v>15</v>
      </c>
      <c r="C25" s="24" t="s">
        <v>78</v>
      </c>
      <c r="D25" s="10" t="s">
        <v>68</v>
      </c>
      <c r="E25" s="11">
        <v>1250000</v>
      </c>
      <c r="F25" s="1" t="s">
        <v>18</v>
      </c>
      <c r="G25" s="10" t="s">
        <v>73</v>
      </c>
      <c r="H25" s="10">
        <v>50</v>
      </c>
      <c r="I25" s="11">
        <v>1616.16</v>
      </c>
      <c r="J25" s="28">
        <f t="shared" si="2"/>
        <v>80808</v>
      </c>
      <c r="K25" s="1" t="s">
        <v>16</v>
      </c>
      <c r="L25" s="13" t="s">
        <v>64</v>
      </c>
      <c r="M25" s="19" t="s">
        <v>61</v>
      </c>
      <c r="N25" s="4">
        <v>1</v>
      </c>
    </row>
    <row r="26" spans="1:14" ht="37.5" x14ac:dyDescent="0.25">
      <c r="A26" s="5">
        <v>21</v>
      </c>
      <c r="B26" s="5" t="s">
        <v>15</v>
      </c>
      <c r="C26" s="24" t="s">
        <v>78</v>
      </c>
      <c r="D26" s="10" t="s">
        <v>69</v>
      </c>
      <c r="E26" s="11">
        <v>2000000</v>
      </c>
      <c r="F26" s="1" t="s">
        <v>18</v>
      </c>
      <c r="G26" s="10" t="s">
        <v>75</v>
      </c>
      <c r="H26" s="10">
        <v>40</v>
      </c>
      <c r="I26" s="11">
        <v>30875.38</v>
      </c>
      <c r="J26" s="28">
        <f t="shared" si="2"/>
        <v>1235015.2</v>
      </c>
      <c r="K26" s="1" t="s">
        <v>16</v>
      </c>
      <c r="L26" s="13" t="s">
        <v>64</v>
      </c>
      <c r="M26" s="19" t="s">
        <v>62</v>
      </c>
      <c r="N26" s="4">
        <v>1</v>
      </c>
    </row>
    <row r="27" spans="1:14" ht="37.5" x14ac:dyDescent="0.25">
      <c r="A27" s="5">
        <v>22</v>
      </c>
      <c r="B27" s="5" t="s">
        <v>15</v>
      </c>
      <c r="C27" s="24" t="s">
        <v>78</v>
      </c>
      <c r="D27" s="10" t="s">
        <v>70</v>
      </c>
      <c r="E27" s="11">
        <v>90000</v>
      </c>
      <c r="F27" s="1" t="s">
        <v>18</v>
      </c>
      <c r="G27" s="10" t="s">
        <v>75</v>
      </c>
      <c r="H27" s="10">
        <v>30</v>
      </c>
      <c r="I27" s="11">
        <v>2000</v>
      </c>
      <c r="J27" s="28">
        <f t="shared" si="2"/>
        <v>60000</v>
      </c>
      <c r="K27" s="1" t="s">
        <v>16</v>
      </c>
      <c r="L27" s="13" t="s">
        <v>64</v>
      </c>
      <c r="M27" s="19" t="s">
        <v>62</v>
      </c>
      <c r="N27" s="4">
        <v>1</v>
      </c>
    </row>
    <row r="28" spans="1:14" ht="37.5" x14ac:dyDescent="0.25">
      <c r="A28" s="5">
        <v>23</v>
      </c>
      <c r="B28" s="5" t="s">
        <v>15</v>
      </c>
      <c r="C28" s="24" t="s">
        <v>81</v>
      </c>
      <c r="D28" s="10" t="s">
        <v>71</v>
      </c>
      <c r="E28" s="11">
        <v>2500000</v>
      </c>
      <c r="F28" s="1" t="s">
        <v>18</v>
      </c>
      <c r="G28" s="10" t="s">
        <v>76</v>
      </c>
      <c r="H28" s="10">
        <v>50</v>
      </c>
      <c r="I28" s="11">
        <v>34000</v>
      </c>
      <c r="J28" s="28">
        <f t="shared" si="2"/>
        <v>1700000</v>
      </c>
      <c r="K28" s="1" t="s">
        <v>16</v>
      </c>
      <c r="L28" s="13" t="s">
        <v>64</v>
      </c>
      <c r="M28" s="19" t="s">
        <v>63</v>
      </c>
      <c r="N28" s="4">
        <v>1</v>
      </c>
    </row>
    <row r="29" spans="1:14" ht="37.5" x14ac:dyDescent="0.25">
      <c r="A29" s="5">
        <v>24</v>
      </c>
      <c r="B29" s="5" t="s">
        <v>15</v>
      </c>
      <c r="C29" s="6" t="s">
        <v>78</v>
      </c>
      <c r="D29" s="10" t="s">
        <v>72</v>
      </c>
      <c r="E29" s="11">
        <v>600000</v>
      </c>
      <c r="F29" s="1" t="s">
        <v>18</v>
      </c>
      <c r="G29" s="10" t="s">
        <v>73</v>
      </c>
      <c r="H29" s="10">
        <v>20</v>
      </c>
      <c r="I29" s="11">
        <v>7893.92</v>
      </c>
      <c r="J29" s="28">
        <f t="shared" si="2"/>
        <v>157878.39999999999</v>
      </c>
      <c r="K29" s="1" t="s">
        <v>16</v>
      </c>
      <c r="L29" s="13" t="s">
        <v>64</v>
      </c>
      <c r="M29" s="19" t="s">
        <v>62</v>
      </c>
      <c r="N29" s="4">
        <v>1</v>
      </c>
    </row>
    <row r="30" spans="1:14" s="23" customFormat="1" x14ac:dyDescent="0.25">
      <c r="A30" s="21"/>
      <c r="B30" s="21"/>
      <c r="C30" s="25"/>
      <c r="D30" s="21" t="s">
        <v>86</v>
      </c>
      <c r="E30" s="21"/>
      <c r="F30" s="21"/>
      <c r="G30" s="21"/>
      <c r="H30" s="21"/>
      <c r="I30" s="21"/>
      <c r="J30" s="29">
        <f>SUM(J6:J29)</f>
        <v>1385751749.6000001</v>
      </c>
      <c r="K30" s="21"/>
      <c r="L30" s="21"/>
      <c r="M30" s="22"/>
      <c r="N30" s="21"/>
    </row>
    <row r="31" spans="1:14" x14ac:dyDescent="0.25">
      <c r="E31" s="7"/>
      <c r="I31" s="7"/>
      <c r="J31" s="30"/>
    </row>
    <row r="32" spans="1:14" x14ac:dyDescent="0.25">
      <c r="E32" s="7"/>
      <c r="I32" s="7"/>
      <c r="J32" s="30"/>
    </row>
  </sheetData>
  <autoFilter ref="A3:N32"/>
  <mergeCells count="3">
    <mergeCell ref="A1:N1"/>
    <mergeCell ref="A4:N4"/>
    <mergeCell ref="A5:N5"/>
  </mergeCell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Шартномалар</vt:lpstr>
      <vt:lpstr>Шартномалар!Область_печати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2026-05-04T07:21:26Z</dcterms:modified>
</cp:coreProperties>
</file>