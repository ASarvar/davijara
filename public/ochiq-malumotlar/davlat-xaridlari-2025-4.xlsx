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Шартномалар" sheetId="6" r:id="rId1"/>
  </sheets>
  <definedNames>
    <definedName name="_xlnm._FilterDatabase" localSheetId="0" hidden="1">Шартномалар!$A$3:$N$38</definedName>
    <definedName name="_xlnm.Print_Area" localSheetId="0">Шартномалар!$A$1:$N$38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6" i="6" l="1"/>
</calcChain>
</file>

<file path=xl/sharedStrings.xml><?xml version="1.0" encoding="utf-8"?>
<sst xmlns="http://schemas.openxmlformats.org/spreadsheetml/2006/main" count="350" uniqueCount="133">
  <si>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</si>
  <si>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</si>
  <si>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</si>
  <si>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</si>
  <si>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</si>
  <si>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</si>
  <si>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</si>
  <si>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</si>
  <si>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</si>
  <si>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</si>
  <si>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</si>
  <si>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</si>
  <si>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</si>
  <si>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</si>
  <si>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</si>
  <si>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</si>
  <si>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</si>
  <si>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</si>
  <si>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</si>
  <si>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</si>
  <si>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budjetdan tashqari hisobidan</t>
  </si>
  <si>
    <t>2-chorak</t>
  </si>
  <si>
    <t>"UNG PETRO" МЧЖ</t>
  </si>
  <si>
    <t>За бензин</t>
  </si>
  <si>
    <t>л</t>
  </si>
  <si>
    <t>Услуга по замене запчастей автомобиля</t>
  </si>
  <si>
    <t>шт</t>
  </si>
  <si>
    <t>yanvar</t>
  </si>
  <si>
    <t>fevral</t>
  </si>
  <si>
    <t>Единый поставщик</t>
  </si>
  <si>
    <t>усл. ед</t>
  </si>
  <si>
    <t>ООО Единый интегратор по созданию и поддержке государственных информационных систем UZINFOCOM</t>
  </si>
  <si>
    <t>"YANGI TEXNOLOGIYALAR ILMIY-AXBOROT MARKAZI" DAVLAT UNITAR KORXONASI</t>
  </si>
  <si>
    <t>3-chorak</t>
  </si>
  <si>
    <t>"MK DIRECT" MAS'ULIYATI CHEKLANGAN JAMIYAT XORIJIY KORXONA</t>
  </si>
  <si>
    <t>O'ZBEKISTON RESPUBLIKASI ADLIYA VAZIRLIGI QOSHIDAGI YURISTLAR MALAKASINI OSHIRISH MARKAZI</t>
  </si>
  <si>
    <t>Услуга по повышению квалификации юристов</t>
  </si>
  <si>
    <t>2 700 000,00</t>
  </si>
  <si>
    <t>Услуга по доступу к сети 
Интернет</t>
  </si>
  <si>
    <t>Услуга по доступу к сети 
Интернет (VPN)</t>
  </si>
  <si>
    <t>Возмещению расходов по коммунальному обслуживанию арендуемого помещения</t>
  </si>
  <si>
    <t>Услуга по платному телевидению</t>
  </si>
  <si>
    <t>Абонентская плата за  электрон-ной системы  «Ijro.gov.uz»</t>
  </si>
  <si>
    <t>Услуга по техническому сопровождению программа ARGOS</t>
  </si>
  <si>
    <t>Предоставление консультативных услуг или экспертного заключения по вопросам информационных технологий, связанных с системами информационных технологий и программным обеспечением</t>
  </si>
  <si>
    <t>Услуга по технической поддержке информационных технологий</t>
  </si>
  <si>
    <t>Прямые закупки</t>
  </si>
  <si>
    <t>44</t>
  </si>
  <si>
    <t>1</t>
  </si>
  <si>
    <t>12</t>
  </si>
  <si>
    <t>6 995 000,00</t>
  </si>
  <si>
    <t>4 500 000,00</t>
  </si>
  <si>
    <t>1 990 000,00</t>
  </si>
  <si>
    <t>104 838,00</t>
  </si>
  <si>
    <t>49 210 268,00</t>
  </si>
  <si>
    <t>30 000,00</t>
  </si>
  <si>
    <t>40 000,00</t>
  </si>
  <si>
    <t>1 538 700,00</t>
  </si>
  <si>
    <t>600 000,00</t>
  </si>
  <si>
    <t>197 690,00</t>
  </si>
  <si>
    <t>375 000,00</t>
  </si>
  <si>
    <t>"O`ZBEKTELEKOM " AKSIYADORLIK JAMIYATI</t>
  </si>
  <si>
    <t>УЧРЕЖДЕНИЕ "O`ZBEKISTON RESPUBLIKASI DAVLAT AKTIVLARINI BOSHQARISH AGENTLIGI HUZURIDAGI BINOLARDAN FOYDALANISH DIREKSIYA</t>
  </si>
  <si>
    <t>"UNIVERSAL MOBILE SYSTEMS" MAS'ULIYATI CHEKLANGAN JAMIYAT</t>
  </si>
  <si>
    <t>ОБЩЕСТВО С ОГРАНИЧЕННОЙ ОТВЕТСТВЕННОСТЬЮ "UZDIGITAL TV"</t>
  </si>
  <si>
    <t>ООО UNICON-SOFT</t>
  </si>
  <si>
    <t>Киберхавфсизлик маркази ДУК</t>
  </si>
  <si>
    <t xml:space="preserve">Услуга по сотовой (мобильной) связи </t>
  </si>
  <si>
    <t>Услуга организации учебных курсов в области IT</t>
  </si>
  <si>
    <t>17 910 000,00</t>
  </si>
  <si>
    <t>Электронный магазин</t>
  </si>
  <si>
    <t>QUICK EDUCATION GROUP НТМ</t>
  </si>
  <si>
    <t xml:space="preserve">Услуга по доступу к сети 
Интернет  </t>
  </si>
  <si>
    <t xml:space="preserve">budjetdan tashqari </t>
  </si>
  <si>
    <t>"RADIOALOQA RADIOESHITTIRISH VA TELEVIDENIE МARKAZI" MCHJ</t>
  </si>
  <si>
    <t>40 000</t>
  </si>
  <si>
    <t>aprel</t>
  </si>
  <si>
    <t>Услуга по установке программного обеспечения</t>
  </si>
  <si>
    <t>5 900 000</t>
  </si>
  <si>
    <t>Услуга по организации учебного семинара</t>
  </si>
  <si>
    <t>Академия Генеральной прокуратуры</t>
  </si>
  <si>
    <t>UHOPKINS MCHJ</t>
  </si>
  <si>
    <t>78 749</t>
  </si>
  <si>
    <t>may</t>
  </si>
  <si>
    <t>"ISHONCH SUG'URTA KOMPANIYASI" AKSIYADORLIK JAMIYATI QO`SHMA KORXONA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</si>
  <si>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</si>
  <si>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Услуги по оптовой и розничной торговле и услуги по ремонту автотранспортных средств и мотоциклов</t>
  </si>
  <si>
    <t>4 729 900</t>
  </si>
  <si>
    <t>iyun</t>
  </si>
  <si>
    <t>Пружина для переплета металлическая</t>
  </si>
  <si>
    <t>упак</t>
  </si>
  <si>
    <t>POWER MAX GROUP MCHJ</t>
  </si>
  <si>
    <t>MCHJ "Tashkei International" QK</t>
  </si>
  <si>
    <t>Многофункциональное устройство (МФУ)</t>
  </si>
  <si>
    <t>"KIBER XAVSIZLIK" MCHJ</t>
  </si>
  <si>
    <t>компл.</t>
  </si>
  <si>
    <t>Планшетный компьютер</t>
  </si>
  <si>
    <t>KANS SHOP MCHJ</t>
  </si>
  <si>
    <t>Термопереплетчик</t>
  </si>
  <si>
    <t>Обложка для переплета пластиковая</t>
  </si>
  <si>
    <t>пачк.</t>
  </si>
  <si>
    <t>iyul</t>
  </si>
  <si>
    <t>4 349 000,00</t>
  </si>
  <si>
    <t>Услуга по сотовой (мобильной) связи</t>
  </si>
  <si>
    <t>18 000 000,00</t>
  </si>
  <si>
    <t>3 000 000,00</t>
  </si>
  <si>
    <t>avgust</t>
  </si>
  <si>
    <t>2 690 000,00</t>
  </si>
  <si>
    <t>538 000,00</t>
  </si>
  <si>
    <t>"SEMURG INSURANCE" AKSIYADORLIK JAMIYATI</t>
  </si>
  <si>
    <t>sentabr</t>
  </si>
  <si>
    <t>Программное обеспечение в сфере информационных технологий</t>
  </si>
  <si>
    <t>251666666.64</t>
  </si>
  <si>
    <t>Прямой электронный договор</t>
  </si>
  <si>
    <t>ООО REALSOFT</t>
  </si>
  <si>
    <t>Защищенная электронная почта Е-ХАТ</t>
  </si>
  <si>
    <t>740925</t>
  </si>
  <si>
    <t>"UNICON.UZ-FAN-TEXNIKA VA MARKETING TADQIQOTLARI MARKAZI" MCHJ</t>
  </si>
  <si>
    <t>Оборудование компьютерное, электронное и оптическое</t>
  </si>
  <si>
    <t>Услуга по повышению профессиональной квалификации</t>
  </si>
  <si>
    <t>чел.</t>
  </si>
  <si>
    <t>MONOMARKAZ-ISHGA MARHAMATМЧЖ</t>
  </si>
  <si>
    <t>YTT ASHUROV ABDULATIF XASAN O‘G‘LI</t>
  </si>
  <si>
    <t>РЖ</t>
  </si>
  <si>
    <t>Хаммаси</t>
  </si>
  <si>
    <r>
      <t xml:space="preserve">Услуга по платному телевидению 
</t>
    </r>
    <r>
      <rPr>
        <b/>
        <sz val="14"/>
        <color rgb="FFFF0000"/>
        <rFont val="Times New Roman"/>
        <family val="1"/>
        <charset val="204"/>
      </rPr>
      <t>(Уменшения сумма договора №25K-118)</t>
    </r>
  </si>
  <si>
    <t>oktabr</t>
  </si>
  <si>
    <t>Шины пневматические для легкового автомобиля</t>
  </si>
  <si>
    <t>BRAVO-AUTO TIRE MCHJ</t>
  </si>
  <si>
    <t>SANOAT RAUPOVA MCHJ</t>
  </si>
  <si>
    <t>Картридж для принтера</t>
  </si>
  <si>
    <t>4-chorak</t>
  </si>
  <si>
    <r>
      <t xml:space="preserve">Davlat aktivlarini boshqarish agentligi xuzuridagi Markazning budjet va budjetdan tashqari mablagʻlari hisobiga 2025-yil </t>
    </r>
    <r>
      <rPr>
        <b/>
        <sz val="14"/>
        <color rgb="FFFF0000"/>
        <rFont val="Times New Roman"/>
        <family val="1"/>
        <charset val="204"/>
      </rPr>
      <t xml:space="preserve">yanvar-dekabr 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</si>
</sst>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b/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1" fillId="0" borderId="0" xfId="0" applyNumberFormat="1" applyFont="1" applyAlignment="1">
      <alignment vertical="center"/>
    </xf>
    <xf numFmtId="4" fontId="1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" fontId="1" fillId="0" borderId="0" xfId="0" applyNumberFormat="1" applyFont="1" applyFill="1" applyAlignment="1">
      <alignment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Fill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" fontId="6" fillId="0" borderId="0" xfId="0" applyNumberFormat="1" applyFont="1" applyFill="1" applyBorder="1" applyAlignment="1">
      <alignment horizontal="center" vertical="center" wrapText="1"/>
    </xf>
    <xf numFmtId="9" fontId="6" fillId="0" borderId="0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tabSelected="1" zoomScale="70" zoomScaleNormal="70" zoomScaleSheetLayoutView="70" workbookViewId="0">
      <pane ySplit="3" topLeftCell="A46" activePane="bottomLeft" state="frozen"/>
      <selection pane="bottomLeft" activeCell="K52" sqref="K52"/>
    </sheetView>
  </sheetViews>
  <sheetFormatPr defaultColWidth="9.140625" defaultRowHeight="18.75" x14ac:dyDescent="0.25"/>
  <cols>
    <col min="1" max="1" width="7.7109375" style="11" customWidth="1"/>
    <col min="2" max="2" width="13.140625" style="11" customWidth="1"/>
    <col min="3" max="3" width="16" style="12" customWidth="1"/>
    <col min="4" max="4" width="35" style="11" customWidth="1"/>
    <col min="5" max="5" width="22.7109375" style="2" customWidth="1"/>
    <col min="6" max="6" width="22.7109375" style="11" customWidth="1"/>
    <col min="7" max="7" width="28.140625" style="11" customWidth="1"/>
    <col min="8" max="8" width="12" style="11" customWidth="1"/>
    <col min="9" max="9" width="21.140625" style="13" customWidth="1"/>
    <col min="10" max="10" width="22.85546875" style="8" customWidth="1"/>
    <col min="11" max="11" width="27.42578125" style="11" customWidth="1"/>
    <col min="12" max="12" width="24.85546875" style="11" customWidth="1"/>
    <col min="13" max="13" width="50.42578125" style="11" customWidth="1"/>
    <col min="14" max="14" width="21.5703125" style="11" customWidth="1"/>
    <col min="15" max="16384" width="9.140625" style="11"/>
  </cols>
  <sheetData>
    <row r="1" spans="1:14" x14ac:dyDescent="0.25">
      <c r="A1" s="32" t="s">
        <v>132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9.5" x14ac:dyDescent="0.25">
      <c r="H2" s="11" t="s">
        <v>1</v>
      </c>
      <c r="N2" s="14" t="s">
        <v>2</v>
      </c>
    </row>
    <row r="3" spans="1:14" s="12" customFormat="1" ht="115.5" customHeight="1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9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9" t="s">
        <v>20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</row>
    <row r="5" spans="1:14" x14ac:dyDescent="0.25">
      <c r="A5" s="29" t="s">
        <v>19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</row>
    <row r="6" spans="1:14" ht="37.5" x14ac:dyDescent="0.25">
      <c r="A6" s="1">
        <v>1</v>
      </c>
      <c r="B6" s="1" t="s">
        <v>27</v>
      </c>
      <c r="C6" s="15">
        <v>4252500</v>
      </c>
      <c r="D6" s="16" t="s">
        <v>23</v>
      </c>
      <c r="E6" s="4">
        <v>37888000</v>
      </c>
      <c r="F6" s="1" t="s">
        <v>18</v>
      </c>
      <c r="G6" s="17" t="s">
        <v>24</v>
      </c>
      <c r="H6" s="16">
        <v>2960</v>
      </c>
      <c r="I6" s="4">
        <v>12800</v>
      </c>
      <c r="J6" s="10">
        <v>37888000</v>
      </c>
      <c r="K6" s="1" t="s">
        <v>16</v>
      </c>
      <c r="L6" s="16" t="s">
        <v>46</v>
      </c>
      <c r="M6" s="16" t="s">
        <v>22</v>
      </c>
      <c r="N6" s="18">
        <v>1</v>
      </c>
    </row>
    <row r="7" spans="1:14" ht="37.5" x14ac:dyDescent="0.25">
      <c r="A7" s="1">
        <v>2</v>
      </c>
      <c r="B7" s="1" t="s">
        <v>28</v>
      </c>
      <c r="C7" s="15">
        <v>4252500</v>
      </c>
      <c r="D7" s="16" t="s">
        <v>23</v>
      </c>
      <c r="E7" s="4">
        <v>25680000</v>
      </c>
      <c r="F7" s="1" t="s">
        <v>18</v>
      </c>
      <c r="G7" s="17" t="s">
        <v>24</v>
      </c>
      <c r="H7" s="16">
        <v>2400</v>
      </c>
      <c r="I7" s="4">
        <v>10700</v>
      </c>
      <c r="J7" s="10">
        <v>25680000</v>
      </c>
      <c r="K7" s="1" t="s">
        <v>16</v>
      </c>
      <c r="L7" s="16" t="s">
        <v>46</v>
      </c>
      <c r="M7" s="16" t="s">
        <v>22</v>
      </c>
      <c r="N7" s="18">
        <v>1</v>
      </c>
    </row>
    <row r="8" spans="1:14" ht="75" x14ac:dyDescent="0.25">
      <c r="A8" s="1">
        <v>3</v>
      </c>
      <c r="B8" s="1" t="s">
        <v>28</v>
      </c>
      <c r="C8" s="15">
        <v>4291000</v>
      </c>
      <c r="D8" s="16" t="s">
        <v>36</v>
      </c>
      <c r="E8" s="4" t="s">
        <v>37</v>
      </c>
      <c r="F8" s="1" t="s">
        <v>18</v>
      </c>
      <c r="G8" s="16" t="s">
        <v>30</v>
      </c>
      <c r="H8" s="16">
        <v>1</v>
      </c>
      <c r="I8" s="4" t="s">
        <v>37</v>
      </c>
      <c r="J8" s="10">
        <v>2700000</v>
      </c>
      <c r="K8" s="1" t="s">
        <v>16</v>
      </c>
      <c r="L8" s="16" t="s">
        <v>29</v>
      </c>
      <c r="M8" s="16" t="s">
        <v>35</v>
      </c>
      <c r="N8" s="18">
        <v>1</v>
      </c>
    </row>
    <row r="9" spans="1:14" ht="37.5" x14ac:dyDescent="0.25">
      <c r="A9" s="1">
        <v>4</v>
      </c>
      <c r="B9" s="1" t="s">
        <v>28</v>
      </c>
      <c r="C9" s="15">
        <v>4292200</v>
      </c>
      <c r="D9" s="16" t="s">
        <v>38</v>
      </c>
      <c r="E9" s="4">
        <v>5970000</v>
      </c>
      <c r="F9" s="1" t="s">
        <v>18</v>
      </c>
      <c r="G9" s="16" t="s">
        <v>30</v>
      </c>
      <c r="H9" s="16">
        <v>3</v>
      </c>
      <c r="I9" s="4" t="s">
        <v>52</v>
      </c>
      <c r="J9" s="10">
        <v>5970000</v>
      </c>
      <c r="K9" s="1" t="s">
        <v>16</v>
      </c>
      <c r="L9" s="16" t="s">
        <v>46</v>
      </c>
      <c r="M9" s="16" t="s">
        <v>61</v>
      </c>
      <c r="N9" s="18">
        <v>1</v>
      </c>
    </row>
    <row r="10" spans="1:14" ht="37.5" x14ac:dyDescent="0.25">
      <c r="A10" s="1">
        <v>5</v>
      </c>
      <c r="B10" s="1" t="s">
        <v>28</v>
      </c>
      <c r="C10" s="15">
        <v>4292200</v>
      </c>
      <c r="D10" s="16" t="s">
        <v>39</v>
      </c>
      <c r="E10" s="4">
        <v>1258056</v>
      </c>
      <c r="F10" s="1" t="s">
        <v>18</v>
      </c>
      <c r="G10" s="16" t="s">
        <v>30</v>
      </c>
      <c r="H10" s="16">
        <v>12</v>
      </c>
      <c r="I10" s="4" t="s">
        <v>53</v>
      </c>
      <c r="J10" s="10">
        <v>1258056</v>
      </c>
      <c r="K10" s="1" t="s">
        <v>16</v>
      </c>
      <c r="L10" s="16" t="s">
        <v>46</v>
      </c>
      <c r="M10" s="16" t="s">
        <v>61</v>
      </c>
      <c r="N10" s="18">
        <v>1</v>
      </c>
    </row>
    <row r="11" spans="1:14" ht="112.5" x14ac:dyDescent="0.25">
      <c r="A11" s="1">
        <v>6</v>
      </c>
      <c r="B11" s="1" t="s">
        <v>28</v>
      </c>
      <c r="C11" s="15">
        <v>4299990</v>
      </c>
      <c r="D11" s="16" t="s">
        <v>40</v>
      </c>
      <c r="E11" s="4">
        <v>590523216</v>
      </c>
      <c r="F11" s="1" t="s">
        <v>18</v>
      </c>
      <c r="G11" s="16" t="s">
        <v>30</v>
      </c>
      <c r="H11" s="16">
        <v>12</v>
      </c>
      <c r="I11" s="4" t="s">
        <v>54</v>
      </c>
      <c r="J11" s="10">
        <v>590523216</v>
      </c>
      <c r="K11" s="1" t="s">
        <v>16</v>
      </c>
      <c r="L11" s="16" t="s">
        <v>46</v>
      </c>
      <c r="M11" s="16" t="s">
        <v>62</v>
      </c>
      <c r="N11" s="18">
        <v>1</v>
      </c>
    </row>
    <row r="12" spans="1:14" ht="56.25" x14ac:dyDescent="0.25">
      <c r="A12" s="1">
        <v>7</v>
      </c>
      <c r="B12" s="1" t="s">
        <v>28</v>
      </c>
      <c r="C12" s="15">
        <v>4292100</v>
      </c>
      <c r="D12" s="16" t="s">
        <v>67</v>
      </c>
      <c r="E12" s="4">
        <v>360000</v>
      </c>
      <c r="F12" s="1" t="s">
        <v>18</v>
      </c>
      <c r="G12" s="16" t="s">
        <v>30</v>
      </c>
      <c r="H12" s="16">
        <v>12</v>
      </c>
      <c r="I12" s="4" t="s">
        <v>55</v>
      </c>
      <c r="J12" s="10">
        <v>360000</v>
      </c>
      <c r="K12" s="1" t="s">
        <v>16</v>
      </c>
      <c r="L12" s="16" t="s">
        <v>46</v>
      </c>
      <c r="M12" s="16" t="s">
        <v>63</v>
      </c>
      <c r="N12" s="18">
        <v>1</v>
      </c>
    </row>
    <row r="13" spans="1:14" ht="56.25" x14ac:dyDescent="0.25">
      <c r="A13" s="1">
        <v>8</v>
      </c>
      <c r="B13" s="1" t="s">
        <v>28</v>
      </c>
      <c r="C13" s="15">
        <v>4292100</v>
      </c>
      <c r="D13" s="16" t="s">
        <v>41</v>
      </c>
      <c r="E13" s="4">
        <v>480000</v>
      </c>
      <c r="F13" s="1" t="s">
        <v>18</v>
      </c>
      <c r="G13" s="16" t="s">
        <v>26</v>
      </c>
      <c r="H13" s="16">
        <v>12</v>
      </c>
      <c r="I13" s="4" t="s">
        <v>56</v>
      </c>
      <c r="J13" s="10">
        <v>480000</v>
      </c>
      <c r="K13" s="1" t="s">
        <v>16</v>
      </c>
      <c r="L13" s="16" t="s">
        <v>46</v>
      </c>
      <c r="M13" s="16" t="s">
        <v>64</v>
      </c>
      <c r="N13" s="18">
        <v>1</v>
      </c>
    </row>
    <row r="14" spans="1:14" ht="56.25" x14ac:dyDescent="0.25">
      <c r="A14" s="1">
        <v>9</v>
      </c>
      <c r="B14" s="1" t="s">
        <v>28</v>
      </c>
      <c r="C14" s="15">
        <v>4292200</v>
      </c>
      <c r="D14" s="16" t="s">
        <v>42</v>
      </c>
      <c r="E14" s="4">
        <v>18464400</v>
      </c>
      <c r="F14" s="1" t="s">
        <v>18</v>
      </c>
      <c r="G14" s="16" t="s">
        <v>30</v>
      </c>
      <c r="H14" s="16">
        <v>12</v>
      </c>
      <c r="I14" s="4" t="s">
        <v>57</v>
      </c>
      <c r="J14" s="10">
        <v>18464400</v>
      </c>
      <c r="K14" s="1" t="s">
        <v>16</v>
      </c>
      <c r="L14" s="16" t="s">
        <v>29</v>
      </c>
      <c r="M14" s="16" t="s">
        <v>65</v>
      </c>
      <c r="N14" s="18">
        <v>1</v>
      </c>
    </row>
    <row r="15" spans="1:14" ht="75" x14ac:dyDescent="0.25">
      <c r="A15" s="1">
        <v>10</v>
      </c>
      <c r="B15" s="1" t="s">
        <v>28</v>
      </c>
      <c r="C15" s="15">
        <v>4292200</v>
      </c>
      <c r="D15" s="16" t="s">
        <v>43</v>
      </c>
      <c r="E15" s="4">
        <v>7200000</v>
      </c>
      <c r="F15" s="1" t="s">
        <v>18</v>
      </c>
      <c r="G15" s="16" t="s">
        <v>30</v>
      </c>
      <c r="H15" s="16">
        <v>12</v>
      </c>
      <c r="I15" s="4" t="s">
        <v>58</v>
      </c>
      <c r="J15" s="10">
        <v>7200000</v>
      </c>
      <c r="K15" s="1" t="s">
        <v>16</v>
      </c>
      <c r="L15" s="16" t="s">
        <v>29</v>
      </c>
      <c r="M15" s="16" t="s">
        <v>31</v>
      </c>
      <c r="N15" s="18">
        <v>1</v>
      </c>
    </row>
    <row r="16" spans="1:14" ht="206.25" x14ac:dyDescent="0.25">
      <c r="A16" s="1">
        <v>11</v>
      </c>
      <c r="B16" s="1" t="s">
        <v>28</v>
      </c>
      <c r="C16" s="15">
        <v>4292200</v>
      </c>
      <c r="D16" s="16" t="s">
        <v>44</v>
      </c>
      <c r="E16" s="4">
        <v>8698360</v>
      </c>
      <c r="F16" s="1" t="s">
        <v>18</v>
      </c>
      <c r="G16" s="16" t="s">
        <v>30</v>
      </c>
      <c r="H16" s="16" t="s">
        <v>47</v>
      </c>
      <c r="I16" s="4" t="s">
        <v>59</v>
      </c>
      <c r="J16" s="10">
        <v>8698360</v>
      </c>
      <c r="K16" s="1" t="s">
        <v>16</v>
      </c>
      <c r="L16" s="16" t="s">
        <v>29</v>
      </c>
      <c r="M16" s="16" t="s">
        <v>66</v>
      </c>
      <c r="N16" s="18">
        <v>1</v>
      </c>
    </row>
    <row r="17" spans="1:14" ht="56.25" x14ac:dyDescent="0.25">
      <c r="A17" s="1">
        <v>12</v>
      </c>
      <c r="B17" s="1" t="s">
        <v>15</v>
      </c>
      <c r="C17" s="15">
        <v>4234100</v>
      </c>
      <c r="D17" s="16" t="s">
        <v>25</v>
      </c>
      <c r="E17" s="4" t="s">
        <v>50</v>
      </c>
      <c r="F17" s="1" t="s">
        <v>18</v>
      </c>
      <c r="G17" s="16" t="s">
        <v>30</v>
      </c>
      <c r="H17" s="16" t="s">
        <v>48</v>
      </c>
      <c r="I17" s="4" t="s">
        <v>50</v>
      </c>
      <c r="J17" s="10">
        <v>6995000</v>
      </c>
      <c r="K17" s="1" t="s">
        <v>16</v>
      </c>
      <c r="L17" s="16" t="s">
        <v>46</v>
      </c>
      <c r="M17" s="16" t="s">
        <v>34</v>
      </c>
      <c r="N17" s="18">
        <v>1</v>
      </c>
    </row>
    <row r="18" spans="1:14" ht="75" x14ac:dyDescent="0.25">
      <c r="A18" s="1">
        <v>13</v>
      </c>
      <c r="B18" s="1" t="s">
        <v>15</v>
      </c>
      <c r="C18" s="15">
        <v>4292200</v>
      </c>
      <c r="D18" s="16" t="s">
        <v>45</v>
      </c>
      <c r="E18" s="4" t="s">
        <v>51</v>
      </c>
      <c r="F18" s="1" t="s">
        <v>18</v>
      </c>
      <c r="G18" s="16" t="s">
        <v>30</v>
      </c>
      <c r="H18" s="16" t="s">
        <v>49</v>
      </c>
      <c r="I18" s="4" t="s">
        <v>60</v>
      </c>
      <c r="J18" s="10">
        <v>4500000</v>
      </c>
      <c r="K18" s="1" t="s">
        <v>16</v>
      </c>
      <c r="L18" s="16" t="s">
        <v>29</v>
      </c>
      <c r="M18" s="16" t="s">
        <v>32</v>
      </c>
      <c r="N18" s="18">
        <v>1</v>
      </c>
    </row>
    <row r="19" spans="1:14" ht="37.5" x14ac:dyDescent="0.25">
      <c r="A19" s="1">
        <v>14</v>
      </c>
      <c r="B19" s="1" t="s">
        <v>15</v>
      </c>
      <c r="C19" s="15">
        <v>4292200</v>
      </c>
      <c r="D19" s="16" t="s">
        <v>72</v>
      </c>
      <c r="E19" s="4" t="s">
        <v>69</v>
      </c>
      <c r="F19" s="1" t="s">
        <v>18</v>
      </c>
      <c r="G19" s="16" t="s">
        <v>30</v>
      </c>
      <c r="H19" s="16">
        <v>9</v>
      </c>
      <c r="I19" s="4" t="s">
        <v>52</v>
      </c>
      <c r="J19" s="10">
        <v>17910000</v>
      </c>
      <c r="K19" s="1" t="s">
        <v>16</v>
      </c>
      <c r="L19" s="16" t="s">
        <v>46</v>
      </c>
      <c r="M19" s="16" t="s">
        <v>61</v>
      </c>
      <c r="N19" s="18">
        <v>1</v>
      </c>
    </row>
    <row r="20" spans="1:14" ht="75" x14ac:dyDescent="0.25">
      <c r="A20" s="1">
        <v>15</v>
      </c>
      <c r="B20" s="1" t="s">
        <v>15</v>
      </c>
      <c r="C20" s="15">
        <v>4292100</v>
      </c>
      <c r="D20" s="16" t="s">
        <v>125</v>
      </c>
      <c r="E20" s="4"/>
      <c r="F20" s="1" t="s">
        <v>18</v>
      </c>
      <c r="G20" s="16" t="s">
        <v>26</v>
      </c>
      <c r="H20" s="16">
        <v>12</v>
      </c>
      <c r="I20" s="4"/>
      <c r="J20" s="10">
        <v>80000</v>
      </c>
      <c r="K20" s="1" t="s">
        <v>16</v>
      </c>
      <c r="L20" s="16" t="s">
        <v>46</v>
      </c>
      <c r="M20" s="16" t="s">
        <v>64</v>
      </c>
      <c r="N20" s="18">
        <v>1</v>
      </c>
    </row>
    <row r="21" spans="1:14" ht="56.25" x14ac:dyDescent="0.25">
      <c r="A21" s="1">
        <v>16</v>
      </c>
      <c r="B21" s="1" t="s">
        <v>15</v>
      </c>
      <c r="C21" s="15">
        <v>4291000</v>
      </c>
      <c r="D21" s="16" t="s">
        <v>68</v>
      </c>
      <c r="E21" s="4">
        <v>13600000</v>
      </c>
      <c r="F21" s="1" t="s">
        <v>18</v>
      </c>
      <c r="G21" s="16" t="s">
        <v>30</v>
      </c>
      <c r="H21" s="16">
        <v>1</v>
      </c>
      <c r="I21" s="4">
        <v>13600000</v>
      </c>
      <c r="J21" s="10">
        <v>13600000</v>
      </c>
      <c r="K21" s="1" t="s">
        <v>16</v>
      </c>
      <c r="L21" s="16" t="s">
        <v>70</v>
      </c>
      <c r="M21" s="16" t="s">
        <v>71</v>
      </c>
      <c r="N21" s="18">
        <v>1</v>
      </c>
    </row>
    <row r="22" spans="1:14" x14ac:dyDescent="0.25">
      <c r="A22" s="29" t="s">
        <v>20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</row>
    <row r="23" spans="1:14" x14ac:dyDescent="0.25">
      <c r="A23" s="29" t="s">
        <v>21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</row>
    <row r="24" spans="1:14" ht="56.25" x14ac:dyDescent="0.25">
      <c r="A24" s="1">
        <v>1</v>
      </c>
      <c r="B24" s="1" t="s">
        <v>76</v>
      </c>
      <c r="C24" s="15">
        <v>4299990</v>
      </c>
      <c r="D24" s="1" t="s">
        <v>41</v>
      </c>
      <c r="E24" s="3">
        <v>480000</v>
      </c>
      <c r="F24" s="1" t="s">
        <v>73</v>
      </c>
      <c r="G24" s="1" t="s">
        <v>30</v>
      </c>
      <c r="H24" s="1">
        <v>10</v>
      </c>
      <c r="I24" s="3" t="s">
        <v>75</v>
      </c>
      <c r="J24" s="9">
        <v>400000</v>
      </c>
      <c r="K24" s="1" t="s">
        <v>16</v>
      </c>
      <c r="L24" s="1" t="s">
        <v>70</v>
      </c>
      <c r="M24" s="1" t="s">
        <v>74</v>
      </c>
      <c r="N24" s="18">
        <v>1</v>
      </c>
    </row>
    <row r="25" spans="1:14" ht="56.25" x14ac:dyDescent="0.25">
      <c r="A25" s="1">
        <v>2</v>
      </c>
      <c r="B25" s="1" t="s">
        <v>76</v>
      </c>
      <c r="C25" s="15">
        <v>4299990</v>
      </c>
      <c r="D25" s="1" t="s">
        <v>77</v>
      </c>
      <c r="E25" s="3" t="s">
        <v>78</v>
      </c>
      <c r="F25" s="1" t="s">
        <v>73</v>
      </c>
      <c r="G25" s="1" t="s">
        <v>30</v>
      </c>
      <c r="H25" s="1">
        <v>1</v>
      </c>
      <c r="I25" s="3" t="s">
        <v>78</v>
      </c>
      <c r="J25" s="9">
        <v>5900000</v>
      </c>
      <c r="K25" s="1" t="s">
        <v>16</v>
      </c>
      <c r="L25" s="1" t="s">
        <v>70</v>
      </c>
      <c r="M25" s="1" t="s">
        <v>81</v>
      </c>
      <c r="N25" s="18">
        <v>1</v>
      </c>
    </row>
    <row r="26" spans="1:14" ht="37.5" x14ac:dyDescent="0.25">
      <c r="A26" s="1">
        <v>3</v>
      </c>
      <c r="B26" s="1" t="s">
        <v>76</v>
      </c>
      <c r="C26" s="15">
        <v>4299990</v>
      </c>
      <c r="D26" s="1" t="s">
        <v>89</v>
      </c>
      <c r="E26" s="3">
        <v>321792</v>
      </c>
      <c r="F26" s="1" t="s">
        <v>73</v>
      </c>
      <c r="G26" s="19" t="s">
        <v>90</v>
      </c>
      <c r="H26" s="1">
        <v>4</v>
      </c>
      <c r="I26" s="3">
        <v>80448</v>
      </c>
      <c r="J26" s="9">
        <v>321792</v>
      </c>
      <c r="K26" s="1" t="s">
        <v>16</v>
      </c>
      <c r="L26" s="1" t="s">
        <v>70</v>
      </c>
      <c r="M26" s="1" t="s">
        <v>91</v>
      </c>
      <c r="N26" s="18">
        <v>1</v>
      </c>
    </row>
    <row r="27" spans="1:14" ht="37.5" x14ac:dyDescent="0.25">
      <c r="A27" s="1">
        <v>4</v>
      </c>
      <c r="B27" s="1" t="s">
        <v>76</v>
      </c>
      <c r="C27" s="15">
        <v>4354920</v>
      </c>
      <c r="D27" s="19" t="s">
        <v>93</v>
      </c>
      <c r="E27" s="3">
        <v>7300000</v>
      </c>
      <c r="F27" s="1" t="s">
        <v>73</v>
      </c>
      <c r="G27" s="19" t="s">
        <v>26</v>
      </c>
      <c r="H27" s="1">
        <v>6</v>
      </c>
      <c r="I27" s="3">
        <v>7300000</v>
      </c>
      <c r="J27" s="9">
        <v>43800000</v>
      </c>
      <c r="K27" s="1" t="s">
        <v>16</v>
      </c>
      <c r="L27" s="1" t="s">
        <v>70</v>
      </c>
      <c r="M27" s="1" t="s">
        <v>92</v>
      </c>
      <c r="N27" s="18">
        <v>1</v>
      </c>
    </row>
    <row r="28" spans="1:14" ht="37.5" x14ac:dyDescent="0.25">
      <c r="A28" s="1">
        <v>5</v>
      </c>
      <c r="B28" s="1" t="s">
        <v>76</v>
      </c>
      <c r="C28" s="15">
        <v>4354990</v>
      </c>
      <c r="D28" s="20" t="s">
        <v>98</v>
      </c>
      <c r="E28" s="3">
        <v>1600000</v>
      </c>
      <c r="F28" s="1" t="s">
        <v>73</v>
      </c>
      <c r="G28" s="19" t="s">
        <v>26</v>
      </c>
      <c r="H28" s="1">
        <v>1</v>
      </c>
      <c r="I28" s="3">
        <v>1600000</v>
      </c>
      <c r="J28" s="9">
        <v>1600000</v>
      </c>
      <c r="K28" s="1" t="s">
        <v>16</v>
      </c>
      <c r="L28" s="1" t="s">
        <v>70</v>
      </c>
      <c r="M28" s="19" t="s">
        <v>97</v>
      </c>
      <c r="N28" s="18">
        <v>1</v>
      </c>
    </row>
    <row r="29" spans="1:14" ht="37.5" x14ac:dyDescent="0.25">
      <c r="A29" s="1">
        <v>6</v>
      </c>
      <c r="B29" s="1" t="s">
        <v>76</v>
      </c>
      <c r="C29" s="15">
        <v>4299990</v>
      </c>
      <c r="D29" s="20" t="s">
        <v>99</v>
      </c>
      <c r="E29" s="3">
        <v>77884</v>
      </c>
      <c r="F29" s="1" t="s">
        <v>73</v>
      </c>
      <c r="G29" s="19" t="s">
        <v>100</v>
      </c>
      <c r="H29" s="1">
        <v>2</v>
      </c>
      <c r="I29" s="3">
        <v>77884</v>
      </c>
      <c r="J29" s="9">
        <v>155768</v>
      </c>
      <c r="K29" s="1" t="s">
        <v>16</v>
      </c>
      <c r="L29" s="1" t="s">
        <v>70</v>
      </c>
      <c r="M29" s="19" t="s">
        <v>91</v>
      </c>
      <c r="N29" s="18">
        <v>1</v>
      </c>
    </row>
    <row r="30" spans="1:14" ht="37.5" x14ac:dyDescent="0.25">
      <c r="A30" s="1">
        <v>7</v>
      </c>
      <c r="B30" s="1" t="s">
        <v>76</v>
      </c>
      <c r="C30" s="15">
        <v>4299990</v>
      </c>
      <c r="D30" s="20" t="s">
        <v>89</v>
      </c>
      <c r="E30" s="3">
        <v>50000</v>
      </c>
      <c r="F30" s="1" t="s">
        <v>73</v>
      </c>
      <c r="G30" s="19" t="s">
        <v>90</v>
      </c>
      <c r="H30" s="1">
        <v>4</v>
      </c>
      <c r="I30" s="3">
        <v>50000</v>
      </c>
      <c r="J30" s="9">
        <v>200000</v>
      </c>
      <c r="K30" s="1" t="s">
        <v>16</v>
      </c>
      <c r="L30" s="1" t="s">
        <v>70</v>
      </c>
      <c r="M30" s="19" t="s">
        <v>97</v>
      </c>
      <c r="N30" s="18">
        <v>1</v>
      </c>
    </row>
    <row r="31" spans="1:14" ht="131.25" x14ac:dyDescent="0.25">
      <c r="A31" s="1">
        <v>8</v>
      </c>
      <c r="B31" s="1" t="s">
        <v>76</v>
      </c>
      <c r="C31" s="15">
        <v>4821190</v>
      </c>
      <c r="D31" s="1" t="s">
        <v>85</v>
      </c>
      <c r="E31" s="3">
        <v>168000</v>
      </c>
      <c r="F31" s="1" t="s">
        <v>73</v>
      </c>
      <c r="G31" s="1" t="s">
        <v>30</v>
      </c>
      <c r="H31" s="1">
        <v>3</v>
      </c>
      <c r="I31" s="3">
        <v>168000</v>
      </c>
      <c r="J31" s="9">
        <v>504000</v>
      </c>
      <c r="K31" s="1" t="s">
        <v>16</v>
      </c>
      <c r="L31" s="1" t="s">
        <v>46</v>
      </c>
      <c r="M31" s="1" t="s">
        <v>84</v>
      </c>
      <c r="N31" s="18">
        <v>1</v>
      </c>
    </row>
    <row r="32" spans="1:14" ht="37.5" x14ac:dyDescent="0.25">
      <c r="A32" s="1">
        <v>9</v>
      </c>
      <c r="B32" s="1" t="s">
        <v>83</v>
      </c>
      <c r="C32" s="15">
        <v>4354990</v>
      </c>
      <c r="D32" s="1" t="s">
        <v>96</v>
      </c>
      <c r="E32" s="3">
        <v>9200000</v>
      </c>
      <c r="F32" s="1" t="s">
        <v>73</v>
      </c>
      <c r="G32" s="1" t="s">
        <v>95</v>
      </c>
      <c r="H32" s="1">
        <v>60</v>
      </c>
      <c r="I32" s="3">
        <v>9200000</v>
      </c>
      <c r="J32" s="9">
        <v>552000000</v>
      </c>
      <c r="K32" s="1" t="s">
        <v>16</v>
      </c>
      <c r="L32" s="1" t="s">
        <v>70</v>
      </c>
      <c r="M32" s="1" t="s">
        <v>94</v>
      </c>
      <c r="N32" s="18">
        <v>1</v>
      </c>
    </row>
    <row r="33" spans="1:15" ht="37.5" x14ac:dyDescent="0.25">
      <c r="A33" s="1">
        <v>10</v>
      </c>
      <c r="B33" s="1" t="s">
        <v>83</v>
      </c>
      <c r="C33" s="15">
        <v>4291000</v>
      </c>
      <c r="D33" s="1" t="s">
        <v>79</v>
      </c>
      <c r="E33" s="3" t="s">
        <v>82</v>
      </c>
      <c r="F33" s="1" t="s">
        <v>73</v>
      </c>
      <c r="G33" s="1" t="s">
        <v>30</v>
      </c>
      <c r="H33" s="1">
        <v>1</v>
      </c>
      <c r="I33" s="3" t="s">
        <v>82</v>
      </c>
      <c r="J33" s="9">
        <v>78749</v>
      </c>
      <c r="K33" s="1" t="s">
        <v>16</v>
      </c>
      <c r="L33" s="1" t="s">
        <v>70</v>
      </c>
      <c r="M33" s="1" t="s">
        <v>80</v>
      </c>
      <c r="N33" s="18">
        <v>1</v>
      </c>
      <c r="O33" s="11" t="s">
        <v>123</v>
      </c>
    </row>
    <row r="34" spans="1:15" ht="37.5" x14ac:dyDescent="0.25">
      <c r="A34" s="1">
        <v>11</v>
      </c>
      <c r="B34" s="1" t="s">
        <v>83</v>
      </c>
      <c r="C34" s="15">
        <v>4292200</v>
      </c>
      <c r="D34" s="16" t="s">
        <v>39</v>
      </c>
      <c r="E34" s="4">
        <v>105000</v>
      </c>
      <c r="F34" s="1" t="s">
        <v>73</v>
      </c>
      <c r="G34" s="1" t="s">
        <v>30</v>
      </c>
      <c r="H34" s="16">
        <v>8</v>
      </c>
      <c r="I34" s="3">
        <v>105000</v>
      </c>
      <c r="J34" s="10">
        <v>900000</v>
      </c>
      <c r="K34" s="1" t="s">
        <v>16</v>
      </c>
      <c r="L34" s="1" t="s">
        <v>46</v>
      </c>
      <c r="M34" s="1" t="s">
        <v>61</v>
      </c>
      <c r="N34" s="18">
        <v>1</v>
      </c>
    </row>
    <row r="35" spans="1:15" ht="93.75" x14ac:dyDescent="0.25">
      <c r="A35" s="1">
        <v>12</v>
      </c>
      <c r="B35" s="1" t="s">
        <v>88</v>
      </c>
      <c r="C35" s="15">
        <v>4234100</v>
      </c>
      <c r="D35" s="16" t="s">
        <v>86</v>
      </c>
      <c r="E35" s="3" t="s">
        <v>87</v>
      </c>
      <c r="F35" s="1" t="s">
        <v>73</v>
      </c>
      <c r="G35" s="1" t="s">
        <v>30</v>
      </c>
      <c r="H35" s="16">
        <v>1</v>
      </c>
      <c r="I35" s="3" t="s">
        <v>87</v>
      </c>
      <c r="J35" s="9">
        <v>4729900</v>
      </c>
      <c r="K35" s="1" t="s">
        <v>16</v>
      </c>
      <c r="L35" s="1" t="s">
        <v>46</v>
      </c>
      <c r="M35" s="1" t="s">
        <v>34</v>
      </c>
      <c r="N35" s="18">
        <v>1</v>
      </c>
    </row>
    <row r="36" spans="1:15" x14ac:dyDescent="0.25">
      <c r="A36" s="6"/>
      <c r="B36" s="7"/>
      <c r="C36" s="21"/>
      <c r="D36" s="22"/>
      <c r="E36" s="23"/>
      <c r="F36" s="7"/>
      <c r="G36" s="7"/>
      <c r="H36" s="22"/>
      <c r="I36" s="23"/>
      <c r="J36" s="24"/>
      <c r="K36" s="7"/>
      <c r="L36" s="7"/>
      <c r="M36" s="7"/>
      <c r="N36" s="25"/>
    </row>
    <row r="37" spans="1:15" x14ac:dyDescent="0.25">
      <c r="A37" s="29" t="s">
        <v>20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</row>
    <row r="38" spans="1:15" x14ac:dyDescent="0.25">
      <c r="A38" s="29" t="s">
        <v>33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1"/>
    </row>
    <row r="39" spans="1:15" ht="101.25" x14ac:dyDescent="0.25">
      <c r="A39" s="5">
        <v>1</v>
      </c>
      <c r="B39" s="5" t="s">
        <v>101</v>
      </c>
      <c r="C39" s="5">
        <v>4234100</v>
      </c>
      <c r="D39" s="26" t="s">
        <v>86</v>
      </c>
      <c r="E39" s="5" t="s">
        <v>102</v>
      </c>
      <c r="F39" s="5" t="s">
        <v>73</v>
      </c>
      <c r="G39" s="5" t="s">
        <v>30</v>
      </c>
      <c r="H39" s="5">
        <v>1</v>
      </c>
      <c r="I39" s="5" t="s">
        <v>102</v>
      </c>
      <c r="J39" s="27">
        <v>4349000</v>
      </c>
      <c r="K39" s="5" t="s">
        <v>16</v>
      </c>
      <c r="L39" s="5" t="s">
        <v>46</v>
      </c>
      <c r="M39" s="5" t="s">
        <v>34</v>
      </c>
      <c r="N39" s="28">
        <v>1</v>
      </c>
    </row>
    <row r="40" spans="1:15" ht="40.5" x14ac:dyDescent="0.25">
      <c r="A40" s="5">
        <v>2</v>
      </c>
      <c r="B40" s="5" t="s">
        <v>101</v>
      </c>
      <c r="C40" s="5">
        <v>4292100</v>
      </c>
      <c r="D40" s="26" t="s">
        <v>103</v>
      </c>
      <c r="E40" s="5" t="s">
        <v>104</v>
      </c>
      <c r="F40" s="5" t="s">
        <v>73</v>
      </c>
      <c r="G40" s="5" t="s">
        <v>30</v>
      </c>
      <c r="H40" s="5">
        <v>60</v>
      </c>
      <c r="I40" s="5" t="s">
        <v>105</v>
      </c>
      <c r="J40" s="27">
        <v>18000000</v>
      </c>
      <c r="K40" s="5" t="s">
        <v>16</v>
      </c>
      <c r="L40" s="5" t="s">
        <v>46</v>
      </c>
      <c r="M40" s="5" t="s">
        <v>61</v>
      </c>
      <c r="N40" s="28">
        <v>1</v>
      </c>
    </row>
    <row r="41" spans="1:15" ht="60.75" customHeight="1" x14ac:dyDescent="0.25">
      <c r="A41" s="5">
        <v>3</v>
      </c>
      <c r="B41" s="5" t="s">
        <v>101</v>
      </c>
      <c r="C41" s="5">
        <v>4354990</v>
      </c>
      <c r="D41" s="26" t="s">
        <v>118</v>
      </c>
      <c r="E41" s="5">
        <v>120000000</v>
      </c>
      <c r="F41" s="5" t="s">
        <v>73</v>
      </c>
      <c r="G41" s="5" t="s">
        <v>95</v>
      </c>
      <c r="H41" s="5">
        <v>10</v>
      </c>
      <c r="I41" s="5">
        <v>9200000</v>
      </c>
      <c r="J41" s="27">
        <v>92000000</v>
      </c>
      <c r="K41" s="5" t="s">
        <v>16</v>
      </c>
      <c r="L41" s="5" t="s">
        <v>70</v>
      </c>
      <c r="M41" s="5" t="s">
        <v>94</v>
      </c>
      <c r="N41" s="28">
        <v>1</v>
      </c>
    </row>
    <row r="42" spans="1:15" ht="40.5" x14ac:dyDescent="0.25">
      <c r="A42" s="5">
        <v>4</v>
      </c>
      <c r="B42" s="5" t="s">
        <v>106</v>
      </c>
      <c r="C42" s="5">
        <v>4292100</v>
      </c>
      <c r="D42" s="26" t="s">
        <v>103</v>
      </c>
      <c r="E42" s="5" t="s">
        <v>107</v>
      </c>
      <c r="F42" s="5" t="s">
        <v>73</v>
      </c>
      <c r="G42" s="5" t="s">
        <v>30</v>
      </c>
      <c r="H42" s="5">
        <v>10</v>
      </c>
      <c r="I42" s="5" t="s">
        <v>108</v>
      </c>
      <c r="J42" s="27">
        <v>2690000</v>
      </c>
      <c r="K42" s="5" t="s">
        <v>16</v>
      </c>
      <c r="L42" s="5" t="s">
        <v>46</v>
      </c>
      <c r="M42" s="5" t="s">
        <v>61</v>
      </c>
      <c r="N42" s="28">
        <v>1</v>
      </c>
    </row>
    <row r="43" spans="1:15" ht="60.75" x14ac:dyDescent="0.25">
      <c r="A43" s="5">
        <v>5</v>
      </c>
      <c r="B43" s="5" t="s">
        <v>106</v>
      </c>
      <c r="C43" s="5">
        <v>4291000</v>
      </c>
      <c r="D43" s="26" t="s">
        <v>119</v>
      </c>
      <c r="E43" s="5">
        <v>1237500</v>
      </c>
      <c r="F43" s="5" t="s">
        <v>73</v>
      </c>
      <c r="G43" s="5" t="s">
        <v>120</v>
      </c>
      <c r="H43" s="5">
        <v>1</v>
      </c>
      <c r="I43" s="5">
        <v>1237500</v>
      </c>
      <c r="J43" s="27">
        <v>1237500</v>
      </c>
      <c r="K43" s="5" t="s">
        <v>16</v>
      </c>
      <c r="L43" s="5" t="s">
        <v>70</v>
      </c>
      <c r="M43" s="5" t="s">
        <v>121</v>
      </c>
      <c r="N43" s="28">
        <v>1</v>
      </c>
    </row>
    <row r="44" spans="1:15" ht="182.25" x14ac:dyDescent="0.25">
      <c r="A44" s="5">
        <v>6</v>
      </c>
      <c r="B44" s="5" t="s">
        <v>106</v>
      </c>
      <c r="C44" s="5">
        <v>4121200</v>
      </c>
      <c r="D44" s="26" t="s">
        <v>85</v>
      </c>
      <c r="E44" s="5">
        <v>10000000</v>
      </c>
      <c r="F44" s="5" t="s">
        <v>73</v>
      </c>
      <c r="G44" s="5" t="s">
        <v>30</v>
      </c>
      <c r="H44" s="5">
        <v>25</v>
      </c>
      <c r="I44" s="5">
        <v>400000</v>
      </c>
      <c r="J44" s="27">
        <v>10000000</v>
      </c>
      <c r="K44" s="5" t="s">
        <v>16</v>
      </c>
      <c r="L44" s="5" t="s">
        <v>46</v>
      </c>
      <c r="M44" s="5" t="s">
        <v>109</v>
      </c>
      <c r="N44" s="28">
        <v>1</v>
      </c>
    </row>
    <row r="45" spans="1:15" ht="81" x14ac:dyDescent="0.25">
      <c r="A45" s="5">
        <v>7</v>
      </c>
      <c r="B45" s="5" t="s">
        <v>106</v>
      </c>
      <c r="C45" s="5">
        <v>4354920</v>
      </c>
      <c r="D45" s="26" t="s">
        <v>118</v>
      </c>
      <c r="E45" s="5">
        <v>12000000</v>
      </c>
      <c r="F45" s="5" t="s">
        <v>73</v>
      </c>
      <c r="G45" s="5" t="s">
        <v>26</v>
      </c>
      <c r="H45" s="5">
        <v>4</v>
      </c>
      <c r="I45" s="5">
        <v>9000000</v>
      </c>
      <c r="J45" s="27">
        <v>36000000</v>
      </c>
      <c r="K45" s="5" t="s">
        <v>16</v>
      </c>
      <c r="L45" s="5" t="s">
        <v>46</v>
      </c>
      <c r="M45" s="5" t="s">
        <v>92</v>
      </c>
      <c r="N45" s="28">
        <v>1</v>
      </c>
    </row>
    <row r="46" spans="1:15" ht="81" x14ac:dyDescent="0.25">
      <c r="A46" s="5">
        <v>8</v>
      </c>
      <c r="B46" s="5" t="s">
        <v>110</v>
      </c>
      <c r="C46" s="5">
        <v>4354990</v>
      </c>
      <c r="D46" s="26" t="s">
        <v>118</v>
      </c>
      <c r="E46" s="5">
        <v>1354000</v>
      </c>
      <c r="F46" s="5" t="s">
        <v>73</v>
      </c>
      <c r="G46" s="5" t="s">
        <v>95</v>
      </c>
      <c r="H46" s="5">
        <v>1</v>
      </c>
      <c r="I46" s="5">
        <v>470000</v>
      </c>
      <c r="J46" s="27">
        <v>470000</v>
      </c>
      <c r="K46" s="5" t="s">
        <v>16</v>
      </c>
      <c r="L46" s="5" t="s">
        <v>46</v>
      </c>
      <c r="M46" s="5" t="s">
        <v>122</v>
      </c>
      <c r="N46" s="28">
        <v>1</v>
      </c>
    </row>
    <row r="47" spans="1:15" ht="81" x14ac:dyDescent="0.25">
      <c r="A47" s="5">
        <v>9</v>
      </c>
      <c r="B47" s="5" t="s">
        <v>110</v>
      </c>
      <c r="C47" s="5">
        <v>4299990</v>
      </c>
      <c r="D47" s="26" t="s">
        <v>111</v>
      </c>
      <c r="E47" s="5" t="s">
        <v>112</v>
      </c>
      <c r="F47" s="5" t="s">
        <v>73</v>
      </c>
      <c r="G47" s="5" t="s">
        <v>30</v>
      </c>
      <c r="H47" s="5">
        <v>1</v>
      </c>
      <c r="I47" s="5" t="s">
        <v>112</v>
      </c>
      <c r="J47" s="27">
        <v>251666666.63999999</v>
      </c>
      <c r="K47" s="5" t="s">
        <v>16</v>
      </c>
      <c r="L47" s="5" t="s">
        <v>113</v>
      </c>
      <c r="M47" s="5" t="s">
        <v>114</v>
      </c>
      <c r="N47" s="28">
        <v>1</v>
      </c>
    </row>
    <row r="48" spans="1:15" ht="60.75" x14ac:dyDescent="0.25">
      <c r="A48" s="5">
        <v>10</v>
      </c>
      <c r="B48" s="5" t="s">
        <v>110</v>
      </c>
      <c r="C48" s="5">
        <v>4299990</v>
      </c>
      <c r="D48" s="26" t="s">
        <v>115</v>
      </c>
      <c r="E48" s="5" t="s">
        <v>116</v>
      </c>
      <c r="F48" s="5" t="s">
        <v>73</v>
      </c>
      <c r="G48" s="5" t="s">
        <v>30</v>
      </c>
      <c r="H48" s="5">
        <v>1</v>
      </c>
      <c r="I48" s="5" t="s">
        <v>116</v>
      </c>
      <c r="J48" s="27">
        <v>740925</v>
      </c>
      <c r="K48" s="5" t="s">
        <v>16</v>
      </c>
      <c r="L48" s="5" t="s">
        <v>113</v>
      </c>
      <c r="M48" s="5" t="s">
        <v>117</v>
      </c>
      <c r="N48" s="28">
        <v>1</v>
      </c>
    </row>
    <row r="49" spans="1:14" x14ac:dyDescent="0.25">
      <c r="A49" s="29" t="s">
        <v>20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</row>
    <row r="50" spans="1:14" ht="20.25" x14ac:dyDescent="0.25">
      <c r="A50" s="5"/>
      <c r="B50" s="37" t="s">
        <v>131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9"/>
    </row>
    <row r="51" spans="1:14" ht="60.75" x14ac:dyDescent="0.25">
      <c r="A51" s="5">
        <v>1</v>
      </c>
      <c r="B51" s="5" t="s">
        <v>126</v>
      </c>
      <c r="C51" s="5"/>
      <c r="D51" s="5" t="s">
        <v>127</v>
      </c>
      <c r="E51" s="5">
        <v>1500000</v>
      </c>
      <c r="F51" s="5" t="s">
        <v>73</v>
      </c>
      <c r="G51" s="5" t="s">
        <v>26</v>
      </c>
      <c r="H51" s="5">
        <v>4</v>
      </c>
      <c r="I51" s="5">
        <v>1040000</v>
      </c>
      <c r="J51" s="40">
        <v>4160000</v>
      </c>
      <c r="K51" s="5" t="s">
        <v>16</v>
      </c>
      <c r="L51" s="5" t="s">
        <v>70</v>
      </c>
      <c r="M51" s="5" t="s">
        <v>128</v>
      </c>
      <c r="N51" s="28">
        <v>1</v>
      </c>
    </row>
    <row r="52" spans="1:14" ht="60.75" x14ac:dyDescent="0.25">
      <c r="A52" s="5">
        <v>2</v>
      </c>
      <c r="B52" s="5" t="s">
        <v>126</v>
      </c>
      <c r="C52" s="5"/>
      <c r="D52" s="5" t="s">
        <v>127</v>
      </c>
      <c r="E52" s="5">
        <v>2000000</v>
      </c>
      <c r="F52" s="5" t="s">
        <v>73</v>
      </c>
      <c r="G52" s="5" t="s">
        <v>26</v>
      </c>
      <c r="H52" s="5">
        <v>4</v>
      </c>
      <c r="I52" s="5">
        <v>1360000</v>
      </c>
      <c r="J52" s="40">
        <v>5440000</v>
      </c>
      <c r="K52" s="5" t="s">
        <v>16</v>
      </c>
      <c r="L52" s="5" t="s">
        <v>70</v>
      </c>
      <c r="M52" s="5" t="s">
        <v>129</v>
      </c>
      <c r="N52" s="28">
        <v>1</v>
      </c>
    </row>
    <row r="53" spans="1:14" ht="40.5" x14ac:dyDescent="0.25">
      <c r="A53" s="5">
        <v>3</v>
      </c>
      <c r="B53" s="5" t="s">
        <v>126</v>
      </c>
      <c r="C53" s="5"/>
      <c r="D53" s="5" t="s">
        <v>130</v>
      </c>
      <c r="E53" s="5">
        <v>2100000</v>
      </c>
      <c r="F53" s="5" t="s">
        <v>73</v>
      </c>
      <c r="G53" s="5" t="s">
        <v>95</v>
      </c>
      <c r="H53" s="5">
        <v>18</v>
      </c>
      <c r="I53" s="5">
        <v>1260000</v>
      </c>
      <c r="J53" s="40">
        <v>22680000</v>
      </c>
      <c r="K53" s="5" t="s">
        <v>16</v>
      </c>
      <c r="L53" s="5" t="s">
        <v>70</v>
      </c>
      <c r="M53" s="5" t="s">
        <v>92</v>
      </c>
      <c r="N53" s="28">
        <v>1</v>
      </c>
    </row>
    <row r="54" spans="1:14" ht="20.25" x14ac:dyDescent="0.25">
      <c r="A54" s="33"/>
      <c r="B54" s="33"/>
      <c r="C54" s="33"/>
      <c r="D54" s="34"/>
      <c r="E54" s="33"/>
      <c r="F54" s="33"/>
      <c r="G54" s="33"/>
      <c r="H54" s="33"/>
      <c r="I54" s="33"/>
      <c r="J54" s="35"/>
      <c r="K54" s="33"/>
      <c r="L54" s="33"/>
      <c r="M54" s="33"/>
      <c r="N54" s="36"/>
    </row>
    <row r="55" spans="1:14" ht="20.25" x14ac:dyDescent="0.25">
      <c r="A55" s="33"/>
      <c r="B55" s="33"/>
      <c r="C55" s="33"/>
      <c r="D55" s="34"/>
      <c r="E55" s="33"/>
      <c r="F55" s="33"/>
      <c r="G55" s="33"/>
      <c r="H55" s="33"/>
      <c r="I55" s="33"/>
      <c r="J55" s="35"/>
      <c r="K55" s="33"/>
      <c r="L55" s="33"/>
      <c r="M55" s="33"/>
      <c r="N55" s="36"/>
    </row>
    <row r="56" spans="1:14" x14ac:dyDescent="0.25">
      <c r="I56" s="13" t="s">
        <v>124</v>
      </c>
      <c r="J56" s="8">
        <f>SUM(J6:J21)+SUM(J24:J35)+SUM(J39:J48)+SUM(J51:J53)</f>
        <v>1802331332.6399999</v>
      </c>
    </row>
  </sheetData>
  <autoFilter ref="A3:N38"/>
  <mergeCells count="9">
    <mergeCell ref="A49:N49"/>
    <mergeCell ref="B50:N50"/>
    <mergeCell ref="A37:N37"/>
    <mergeCell ref="A38:N38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2026-02-23T15:06:48Z</dcterms:modified>
</cp:coreProperties>
</file>