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605" windowHeight="10500" activeTab="1"/>
  </bookViews>
  <sheets>
    <sheet name="Хизмат сафари" sheetId="7" r:id="rId1"/>
    <sheet name="мансабдор шахслар хизмат сафари" sheetId="8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3" i="8" l="1"/>
  <c r="J20" i="8"/>
  <c r="J19" i="8"/>
  <c r="H19" i="8"/>
  <c r="J18" i="8"/>
  <c r="H31" i="8" l="1"/>
  <c r="I31" i="8"/>
  <c r="J31" i="8"/>
  <c r="K31" i="8"/>
  <c r="L43" i="8"/>
  <c r="L29" i="8"/>
  <c r="I17" i="7"/>
  <c r="I15" i="7"/>
  <c r="H9" i="8" l="1"/>
  <c r="L34" i="8"/>
  <c r="L35" i="8"/>
  <c r="L36" i="8"/>
  <c r="L37" i="8"/>
  <c r="L38" i="8"/>
  <c r="L39" i="8"/>
  <c r="L40" i="8"/>
  <c r="L41" i="8"/>
  <c r="L42" i="8"/>
  <c r="L20" i="8"/>
  <c r="L21" i="8"/>
  <c r="L22" i="8"/>
  <c r="L23" i="8"/>
  <c r="L24" i="8"/>
  <c r="L25" i="8"/>
  <c r="L26" i="8"/>
  <c r="L19" i="8"/>
  <c r="L10" i="8" l="1"/>
  <c r="I7" i="7" l="1"/>
  <c r="I8" i="7"/>
  <c r="I9" i="7"/>
  <c r="I10" i="7"/>
  <c r="I11" i="7"/>
  <c r="I12" i="7"/>
  <c r="I13" i="7"/>
  <c r="I14" i="7"/>
  <c r="I16" i="7"/>
  <c r="I18" i="7"/>
  <c r="I6" i="7"/>
  <c r="L11" i="8" l="1"/>
  <c r="L12" i="8"/>
  <c r="L13" i="8"/>
  <c r="L14" i="8"/>
  <c r="L15" i="8"/>
  <c r="L16" i="8"/>
  <c r="L17" i="8"/>
  <c r="L18" i="8"/>
  <c r="K9" i="8"/>
  <c r="J9" i="8"/>
  <c r="L9" i="8" l="1"/>
  <c r="K28" i="8"/>
  <c r="J28" i="8"/>
  <c r="I28" i="8"/>
  <c r="H28" i="8"/>
  <c r="E5" i="7" l="1"/>
  <c r="K8" i="8" l="1"/>
  <c r="J8" i="8"/>
  <c r="I9" i="8"/>
  <c r="I8" i="8" s="1"/>
  <c r="H8" i="8"/>
  <c r="G5" i="7"/>
  <c r="F5" i="7"/>
  <c r="H5" i="7" l="1"/>
  <c r="L33" i="8" l="1"/>
  <c r="L32" i="8"/>
  <c r="L31" i="8" s="1"/>
  <c r="I5" i="7" l="1"/>
  <c r="L28" i="8" l="1"/>
  <c r="L8" i="8" s="1"/>
  <c r="C5" i="7" l="1"/>
</calcChain>
</file>

<file path=xl/sharedStrings.xml><?xml version="1.0" encoding="utf-8"?>
<sst xmlns="http://schemas.openxmlformats.org/spreadsheetml/2006/main" count="142" uniqueCount="74">
  <si>
    <t>№</t>
  </si>
  <si>
    <t>ой</t>
  </si>
  <si>
    <t>хизмат сафарининг мақсади</t>
  </si>
  <si>
    <t>кундалик харажатларини қоплаш</t>
  </si>
  <si>
    <t>йўл кира харажатларини қоплаш</t>
  </si>
  <si>
    <t>турар жой ижараси</t>
  </si>
  <si>
    <t>бюджет маблағлари ҳисобидан</t>
  </si>
  <si>
    <t>бюджетдан ташқари маблағлар ҳисобидан</t>
  </si>
  <si>
    <t>январь</t>
  </si>
  <si>
    <t>февраль</t>
  </si>
  <si>
    <t>март</t>
  </si>
  <si>
    <t>хизмат сафарининг сони</t>
  </si>
  <si>
    <t>ЖАМИ</t>
  </si>
  <si>
    <t>сўм</t>
  </si>
  <si>
    <t>Ф.И.О</t>
  </si>
  <si>
    <t>эгаллаб турган лавозими</t>
  </si>
  <si>
    <t>Хизмат сафари буйруғи рақами</t>
  </si>
  <si>
    <t>Хизмат сафари манзили</t>
  </si>
  <si>
    <t>Хизмат сафари даври
(кун)</t>
  </si>
  <si>
    <t>яшаш харажатлари</t>
  </si>
  <si>
    <t>Транспорт харажатлари</t>
  </si>
  <si>
    <t>кунлик харажатлар</t>
  </si>
  <si>
    <t>Жами харажатлар</t>
  </si>
  <si>
    <t>ўз маблағлари ҳисобидан</t>
  </si>
  <si>
    <t>ташкилот маблағлари ҳисобидан</t>
  </si>
  <si>
    <t>ҲАММАСИ</t>
  </si>
  <si>
    <t xml:space="preserve"> </t>
  </si>
  <si>
    <t>Аминов Рустам</t>
  </si>
  <si>
    <t>Ҳукумат топшириқларининг бажарилиши юзасидан Марказга юклатилган вазифалар ижроси буйича</t>
  </si>
  <si>
    <t>Хакимов Шерзод</t>
  </si>
  <si>
    <t>Директор</t>
  </si>
  <si>
    <t>Усмонов Бекзод</t>
  </si>
  <si>
    <t>санаси</t>
  </si>
  <si>
    <t>Андижон</t>
  </si>
  <si>
    <t>Директорнинг
1-уринбосари</t>
  </si>
  <si>
    <t>Директор ўринбосари</t>
  </si>
  <si>
    <t>8-хс</t>
  </si>
  <si>
    <t>10-хс</t>
  </si>
  <si>
    <t>15-хс</t>
  </si>
  <si>
    <t>Хоразм</t>
  </si>
  <si>
    <t>17-хс</t>
  </si>
  <si>
    <t>апрель</t>
  </si>
  <si>
    <t>май</t>
  </si>
  <si>
    <t>июнь</t>
  </si>
  <si>
    <t>июль</t>
  </si>
  <si>
    <t>август</t>
  </si>
  <si>
    <t>сентябрь</t>
  </si>
  <si>
    <t>21-хс</t>
  </si>
  <si>
    <t>24-хс</t>
  </si>
  <si>
    <t>Жиззах</t>
  </si>
  <si>
    <t>Фаргона</t>
  </si>
  <si>
    <t>КК Р</t>
  </si>
  <si>
    <t>октябрь</t>
  </si>
  <si>
    <t>ноябрь</t>
  </si>
  <si>
    <t>декабрь</t>
  </si>
  <si>
    <t>1-хс</t>
  </si>
  <si>
    <t>2-хс</t>
  </si>
  <si>
    <t>14-хс</t>
  </si>
  <si>
    <t>Тошк вил Охангарон тум</t>
  </si>
  <si>
    <t>3-хс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</si>
  <si>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ходимларининг 2025 йилнинг </t>
    </r>
    <r>
      <rPr>
        <b/>
        <sz val="14"/>
        <color rgb="FFFF0000"/>
        <rFont val="Times New Roman"/>
        <family val="1"/>
        <charset val="204"/>
      </rPr>
      <t xml:space="preserve">январь-июнь  </t>
    </r>
    <r>
      <rPr>
        <b/>
        <sz val="14"/>
        <color theme="1"/>
        <rFont val="Times New Roman"/>
        <family val="1"/>
        <charset val="204"/>
      </rPr>
      <t xml:space="preserve"> ойлари давомида хизмат сафари харажатлари тўғрисида 
МАЪЛУМОТ</t>
    </r>
  </si>
  <si>
    <t>Сурхондарё</t>
  </si>
  <si>
    <t>Самарканд-Бухоро</t>
  </si>
  <si>
    <t>Кашкадарё</t>
  </si>
  <si>
    <t>27-хс</t>
  </si>
  <si>
    <t>29-хс</t>
  </si>
  <si>
    <t>30-хс</t>
  </si>
  <si>
    <t>31-хс</t>
  </si>
  <si>
    <t>35-хс</t>
  </si>
  <si>
    <t>36-хс</t>
  </si>
  <si>
    <t>23-хс</t>
  </si>
  <si>
    <t>28-хс</t>
  </si>
  <si>
    <t>33-хс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</si>
  <si>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мансабдор шахсларини
 2025 йил    </t>
    </r>
    <r>
      <rPr>
        <b/>
        <sz val="12"/>
        <color rgb="FFFF0000"/>
        <rFont val="Times New Roman"/>
        <family val="1"/>
        <charset val="204"/>
      </rPr>
      <t xml:space="preserve">январь-июнь   </t>
    </r>
    <r>
      <rPr>
        <b/>
        <sz val="12"/>
        <color theme="1"/>
        <rFont val="Times New Roman"/>
        <family val="1"/>
        <charset val="204"/>
      </rPr>
      <t>ойларидаги хизмат сафари харажатлари тўғрисида
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</si>
</sst>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/mm/yy;@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4" fontId="7" fillId="0" borderId="0" xfId="0" applyNumberFormat="1" applyFont="1" applyBorder="1" applyAlignment="1">
      <alignment horizontal="center" vertical="center" wrapText="1"/>
    </xf>
    <xf numFmtId="4" fontId="7" fillId="2" borderId="0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/>
    <xf numFmtId="0" fontId="8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Border="1"/>
    <xf numFmtId="4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zoomScale="70" zoomScaleNormal="70" workbookViewId="0">
      <pane ySplit="5" topLeftCell="A6" activePane="bottomLeft" state="frozen"/>
      <selection pane="bottomLeft" activeCell="D12" sqref="D12:D17"/>
    </sheetView>
  </sheetViews>
  <sheetFormatPr defaultRowHeight="18.75" x14ac:dyDescent="0.3"/>
  <cols>
    <col min="1" max="1" width="6.5703125" style="25" customWidth="1"/>
    <col min="2" max="2" width="13.5703125" style="25" customWidth="1"/>
    <col min="3" max="3" width="17" style="25" customWidth="1"/>
    <col min="4" max="4" width="41.42578125" style="25" customWidth="1"/>
    <col min="5" max="5" width="22.5703125" style="25" customWidth="1"/>
    <col min="6" max="6" width="22.85546875" style="25" customWidth="1"/>
    <col min="7" max="8" width="18.7109375" style="25" customWidth="1"/>
    <col min="9" max="9" width="26" style="25" customWidth="1"/>
    <col min="10" max="10" width="20.140625" style="25" customWidth="1"/>
    <col min="11" max="11" width="20.5703125" style="25" customWidth="1"/>
    <col min="12" max="12" width="18" style="25" customWidth="1"/>
    <col min="13" max="13" width="14.42578125" style="25" customWidth="1"/>
    <col min="14" max="16384" width="9.140625" style="25"/>
  </cols>
  <sheetData>
    <row r="2" spans="1:13" ht="56.25" customHeight="1" x14ac:dyDescent="0.3">
      <c r="A2" s="30" t="s">
        <v>60</v>
      </c>
      <c r="B2" s="30"/>
      <c r="C2" s="30"/>
      <c r="D2" s="30"/>
      <c r="E2" s="30"/>
      <c r="F2" s="30"/>
      <c r="G2" s="30"/>
      <c r="H2" s="30"/>
      <c r="I2" s="30"/>
    </row>
    <row r="3" spans="1:13" x14ac:dyDescent="0.3">
      <c r="A3" s="25">
        <v>3</v>
      </c>
      <c r="I3" s="26" t="s">
        <v>13</v>
      </c>
    </row>
    <row r="4" spans="1:13" ht="75" x14ac:dyDescent="0.3">
      <c r="A4" s="9" t="s">
        <v>0</v>
      </c>
      <c r="B4" s="9" t="s">
        <v>1</v>
      </c>
      <c r="C4" s="9" t="s">
        <v>11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</row>
    <row r="5" spans="1:13" x14ac:dyDescent="0.3">
      <c r="A5" s="31" t="s">
        <v>12</v>
      </c>
      <c r="B5" s="32"/>
      <c r="C5" s="9">
        <f>SUM(C6:C8)</f>
        <v>15</v>
      </c>
      <c r="D5" s="9"/>
      <c r="E5" s="3">
        <f>SUM(E6:E18)</f>
        <v>6937500</v>
      </c>
      <c r="F5" s="3">
        <f t="shared" ref="F5:I5" si="0">SUM(F6:F18)</f>
        <v>17833236</v>
      </c>
      <c r="G5" s="3">
        <f t="shared" si="0"/>
        <v>66836000</v>
      </c>
      <c r="H5" s="3">
        <f>SUM(H6:H11)</f>
        <v>0</v>
      </c>
      <c r="I5" s="3">
        <f t="shared" si="0"/>
        <v>91606736</v>
      </c>
      <c r="J5" s="27" t="s">
        <v>26</v>
      </c>
      <c r="K5" s="27"/>
      <c r="L5" s="27"/>
      <c r="M5" s="27"/>
    </row>
    <row r="6" spans="1:13" ht="75" x14ac:dyDescent="0.3">
      <c r="A6" s="1">
        <v>1</v>
      </c>
      <c r="B6" s="1" t="s">
        <v>8</v>
      </c>
      <c r="C6" s="1">
        <v>10</v>
      </c>
      <c r="D6" s="8" t="s">
        <v>28</v>
      </c>
      <c r="E6" s="2">
        <v>712500</v>
      </c>
      <c r="F6" s="2">
        <v>3774118</v>
      </c>
      <c r="G6" s="5">
        <v>9400000</v>
      </c>
      <c r="H6" s="2"/>
      <c r="I6" s="2">
        <f>+E6+F6+G6</f>
        <v>13886618</v>
      </c>
      <c r="J6" s="27"/>
      <c r="K6" s="27"/>
      <c r="L6" s="27"/>
    </row>
    <row r="7" spans="1:13" ht="75" x14ac:dyDescent="0.3">
      <c r="A7" s="1">
        <v>2</v>
      </c>
      <c r="B7" s="1" t="s">
        <v>9</v>
      </c>
      <c r="C7" s="1">
        <v>5</v>
      </c>
      <c r="D7" s="8" t="s">
        <v>28</v>
      </c>
      <c r="E7" s="2">
        <v>37500</v>
      </c>
      <c r="F7" s="2">
        <v>2317088</v>
      </c>
      <c r="G7" s="2">
        <v>500000</v>
      </c>
      <c r="H7" s="2"/>
      <c r="I7" s="2">
        <f>+E7+F7+G7</f>
        <v>2854588</v>
      </c>
      <c r="J7" s="27"/>
      <c r="K7" s="27"/>
      <c r="L7" s="27"/>
    </row>
    <row r="8" spans="1:13" ht="75" x14ac:dyDescent="0.3">
      <c r="A8" s="6">
        <v>3</v>
      </c>
      <c r="B8" s="6" t="s">
        <v>10</v>
      </c>
      <c r="C8" s="6"/>
      <c r="D8" s="8" t="s">
        <v>28</v>
      </c>
      <c r="E8" s="7">
        <v>2887500</v>
      </c>
      <c r="F8" s="7">
        <v>1856332</v>
      </c>
      <c r="G8" s="7">
        <v>13080000</v>
      </c>
      <c r="H8" s="7"/>
      <c r="I8" s="2">
        <f t="shared" ref="I8:I18" si="1">+E8+F8+G8</f>
        <v>17823832</v>
      </c>
      <c r="J8" s="27"/>
      <c r="K8" s="27"/>
      <c r="L8" s="27"/>
    </row>
    <row r="9" spans="1:13" s="28" customFormat="1" ht="75" x14ac:dyDescent="0.3">
      <c r="A9" s="1">
        <v>4</v>
      </c>
      <c r="B9" s="1" t="s">
        <v>41</v>
      </c>
      <c r="C9" s="6">
        <v>11</v>
      </c>
      <c r="D9" s="8" t="s">
        <v>28</v>
      </c>
      <c r="E9" s="7">
        <v>2325000</v>
      </c>
      <c r="F9" s="7">
        <v>3484329</v>
      </c>
      <c r="G9" s="7">
        <v>29970000</v>
      </c>
      <c r="H9" s="7"/>
      <c r="I9" s="2">
        <f t="shared" si="1"/>
        <v>35779329</v>
      </c>
    </row>
    <row r="10" spans="1:13" s="28" customFormat="1" ht="75" x14ac:dyDescent="0.3">
      <c r="A10" s="1">
        <v>5</v>
      </c>
      <c r="B10" s="1" t="s">
        <v>42</v>
      </c>
      <c r="C10" s="6">
        <v>6</v>
      </c>
      <c r="D10" s="8" t="s">
        <v>28</v>
      </c>
      <c r="E10" s="7">
        <v>600000</v>
      </c>
      <c r="F10" s="7">
        <v>4176242</v>
      </c>
      <c r="G10" s="7">
        <v>8286000</v>
      </c>
      <c r="H10" s="7"/>
      <c r="I10" s="2">
        <f t="shared" si="1"/>
        <v>13062242</v>
      </c>
    </row>
    <row r="11" spans="1:13" s="28" customFormat="1" ht="75" x14ac:dyDescent="0.3">
      <c r="A11" s="6">
        <v>6</v>
      </c>
      <c r="B11" s="6" t="s">
        <v>43</v>
      </c>
      <c r="C11" s="1">
        <v>8</v>
      </c>
      <c r="D11" s="8" t="s">
        <v>28</v>
      </c>
      <c r="E11" s="2">
        <v>375000</v>
      </c>
      <c r="F11" s="2">
        <v>2225127</v>
      </c>
      <c r="G11" s="2">
        <v>5600000</v>
      </c>
      <c r="H11" s="2"/>
      <c r="I11" s="2">
        <f t="shared" si="1"/>
        <v>8200127</v>
      </c>
    </row>
    <row r="12" spans="1:13" x14ac:dyDescent="0.3">
      <c r="A12" s="1">
        <v>7</v>
      </c>
      <c r="B12" s="1" t="s">
        <v>44</v>
      </c>
      <c r="C12" s="1"/>
      <c r="D12" s="8"/>
      <c r="E12" s="2"/>
      <c r="F12" s="2"/>
      <c r="G12" s="2"/>
      <c r="H12" s="2"/>
      <c r="I12" s="2">
        <f t="shared" si="1"/>
        <v>0</v>
      </c>
    </row>
    <row r="13" spans="1:13" x14ac:dyDescent="0.3">
      <c r="A13" s="1">
        <v>8</v>
      </c>
      <c r="B13" s="1" t="s">
        <v>45</v>
      </c>
      <c r="C13" s="1"/>
      <c r="D13" s="8"/>
      <c r="E13" s="2"/>
      <c r="F13" s="2"/>
      <c r="G13" s="2"/>
      <c r="H13" s="2"/>
      <c r="I13" s="2">
        <f t="shared" si="1"/>
        <v>0</v>
      </c>
    </row>
    <row r="14" spans="1:13" x14ac:dyDescent="0.3">
      <c r="A14" s="6">
        <v>9</v>
      </c>
      <c r="B14" s="6" t="s">
        <v>46</v>
      </c>
      <c r="C14" s="1"/>
      <c r="D14" s="8"/>
      <c r="E14" s="2"/>
      <c r="F14" s="2"/>
      <c r="G14" s="2"/>
      <c r="H14" s="2"/>
      <c r="I14" s="2">
        <f t="shared" si="1"/>
        <v>0</v>
      </c>
    </row>
    <row r="15" spans="1:13" x14ac:dyDescent="0.3">
      <c r="A15" s="1">
        <v>10</v>
      </c>
      <c r="B15" s="1" t="s">
        <v>52</v>
      </c>
      <c r="C15" s="1"/>
      <c r="D15" s="8"/>
      <c r="E15" s="2"/>
      <c r="F15" s="2"/>
      <c r="G15" s="2"/>
      <c r="H15" s="2"/>
      <c r="I15" s="2">
        <f>+E15+F15+G15</f>
        <v>0</v>
      </c>
    </row>
    <row r="16" spans="1:13" x14ac:dyDescent="0.3">
      <c r="A16" s="1">
        <v>11</v>
      </c>
      <c r="B16" s="1" t="s">
        <v>53</v>
      </c>
      <c r="C16" s="1"/>
      <c r="D16" s="8"/>
      <c r="E16" s="2"/>
      <c r="F16" s="2"/>
      <c r="G16" s="2"/>
      <c r="H16" s="2"/>
      <c r="I16" s="2">
        <f t="shared" si="1"/>
        <v>0</v>
      </c>
    </row>
    <row r="17" spans="1:11" x14ac:dyDescent="0.3">
      <c r="A17" s="1">
        <v>12</v>
      </c>
      <c r="B17" s="1" t="s">
        <v>54</v>
      </c>
      <c r="C17" s="1"/>
      <c r="D17" s="8"/>
      <c r="E17" s="2"/>
      <c r="F17" s="2"/>
      <c r="G17" s="2"/>
      <c r="H17" s="2"/>
      <c r="I17" s="2">
        <f>+E17+F17+G17</f>
        <v>0</v>
      </c>
    </row>
    <row r="18" spans="1:11" x14ac:dyDescent="0.3">
      <c r="A18" s="1"/>
      <c r="B18" s="1"/>
      <c r="C18" s="1"/>
      <c r="D18" s="8"/>
      <c r="E18" s="2"/>
      <c r="F18" s="2"/>
      <c r="G18" s="2"/>
      <c r="H18" s="2"/>
      <c r="I18" s="2">
        <f t="shared" si="1"/>
        <v>0</v>
      </c>
      <c r="J18" s="29"/>
      <c r="K18" s="27"/>
    </row>
    <row r="19" spans="1:11" x14ac:dyDescent="0.3">
      <c r="H19" s="27"/>
      <c r="I19" s="27"/>
      <c r="J19" s="27"/>
    </row>
    <row r="21" spans="1:11" x14ac:dyDescent="0.3">
      <c r="I21" s="27"/>
    </row>
    <row r="22" spans="1:11" x14ac:dyDescent="0.3">
      <c r="J22" s="27"/>
    </row>
  </sheetData>
  <mergeCells count="2">
    <mergeCell ref="A2:I2"/>
    <mergeCell ref="A5:B5"/>
  </mergeCells>
  <pageMargins left="0.11811023622047245" right="0.11811023622047245" top="0.15748031496062992" bottom="0.19685039370078741" header="0.11811023622047245" footer="0.19685039370078741"/>
  <pageSetup paperSize="9"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3"/>
  <sheetViews>
    <sheetView tabSelected="1" zoomScale="69" zoomScaleNormal="69" workbookViewId="0">
      <pane ySplit="8" topLeftCell="A9" activePane="bottomLeft" state="frozen"/>
      <selection pane="bottomLeft" activeCell="A5" sqref="A5"/>
    </sheetView>
  </sheetViews>
  <sheetFormatPr defaultRowHeight="15.75" x14ac:dyDescent="0.25"/>
  <cols>
    <col min="1" max="1" width="4.140625" style="10" customWidth="1"/>
    <col min="2" max="2" width="22.28515625" style="10" customWidth="1"/>
    <col min="3" max="3" width="29.5703125" style="10" customWidth="1"/>
    <col min="4" max="4" width="11" style="10" customWidth="1"/>
    <col min="5" max="5" width="12.5703125" style="10" customWidth="1"/>
    <col min="6" max="6" width="16.42578125" style="11" customWidth="1"/>
    <col min="7" max="7" width="9.5703125" style="10" customWidth="1"/>
    <col min="8" max="8" width="18.7109375" style="10" customWidth="1"/>
    <col min="9" max="9" width="17.7109375" style="10" customWidth="1"/>
    <col min="10" max="10" width="23.5703125" style="10" customWidth="1"/>
    <col min="11" max="11" width="20.7109375" style="10" customWidth="1"/>
    <col min="12" max="12" width="21.7109375" style="10" customWidth="1"/>
    <col min="13" max="16384" width="9.140625" style="10"/>
  </cols>
  <sheetData>
    <row r="3" spans="1:12" ht="20.25" customHeight="1" x14ac:dyDescent="0.25">
      <c r="A3" s="33" t="s">
        <v>73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37.5" customHeight="1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x14ac:dyDescent="0.25">
      <c r="L5" s="4" t="s">
        <v>13</v>
      </c>
    </row>
    <row r="6" spans="1:12" ht="37.5" customHeight="1" x14ac:dyDescent="0.25">
      <c r="A6" s="35" t="s">
        <v>0</v>
      </c>
      <c r="B6" s="35" t="s">
        <v>14</v>
      </c>
      <c r="C6" s="35" t="s">
        <v>15</v>
      </c>
      <c r="D6" s="34" t="s">
        <v>16</v>
      </c>
      <c r="E6" s="34"/>
      <c r="F6" s="35" t="s">
        <v>17</v>
      </c>
      <c r="G6" s="35" t="s">
        <v>18</v>
      </c>
      <c r="H6" s="35" t="s">
        <v>19</v>
      </c>
      <c r="I6" s="37" t="s">
        <v>20</v>
      </c>
      <c r="J6" s="38"/>
      <c r="K6" s="35" t="s">
        <v>21</v>
      </c>
      <c r="L6" s="35" t="s">
        <v>22</v>
      </c>
    </row>
    <row r="7" spans="1:12" ht="47.25" x14ac:dyDescent="0.25">
      <c r="A7" s="36"/>
      <c r="B7" s="36"/>
      <c r="C7" s="36"/>
      <c r="D7" s="12" t="s">
        <v>0</v>
      </c>
      <c r="E7" s="12" t="s">
        <v>32</v>
      </c>
      <c r="F7" s="36"/>
      <c r="G7" s="36"/>
      <c r="H7" s="36"/>
      <c r="I7" s="13" t="s">
        <v>23</v>
      </c>
      <c r="J7" s="12" t="s">
        <v>24</v>
      </c>
      <c r="K7" s="36"/>
      <c r="L7" s="36"/>
    </row>
    <row r="8" spans="1:12" x14ac:dyDescent="0.25">
      <c r="A8" s="34" t="s">
        <v>25</v>
      </c>
      <c r="B8" s="34"/>
      <c r="C8" s="34"/>
      <c r="D8" s="34"/>
      <c r="E8" s="34"/>
      <c r="F8" s="34"/>
      <c r="G8" s="34"/>
      <c r="H8" s="14">
        <f>+H28+H31+H9</f>
        <v>22286000</v>
      </c>
      <c r="I8" s="14">
        <f>+I28+I31+I9</f>
        <v>0</v>
      </c>
      <c r="J8" s="14">
        <f>+J28+J31+J9</f>
        <v>13037548</v>
      </c>
      <c r="K8" s="14">
        <f>+K28+K31+K9</f>
        <v>1762500</v>
      </c>
      <c r="L8" s="14">
        <f>+L28+L31+L9</f>
        <v>37086048</v>
      </c>
    </row>
    <row r="9" spans="1:12" x14ac:dyDescent="0.25">
      <c r="A9" s="34" t="s">
        <v>12</v>
      </c>
      <c r="B9" s="34"/>
      <c r="C9" s="34"/>
      <c r="D9" s="34"/>
      <c r="E9" s="34"/>
      <c r="F9" s="34"/>
      <c r="G9" s="34"/>
      <c r="H9" s="14">
        <f>SUM(H10:H26)</f>
        <v>22286000</v>
      </c>
      <c r="I9" s="14">
        <f>SUM(I10:I10)</f>
        <v>0</v>
      </c>
      <c r="J9" s="14">
        <f>SUM(J10:J26)</f>
        <v>13037548</v>
      </c>
      <c r="K9" s="14">
        <f>SUM(K10:K26)</f>
        <v>1087500</v>
      </c>
      <c r="L9" s="14">
        <f>SUM(L10:L26)</f>
        <v>36411048</v>
      </c>
    </row>
    <row r="10" spans="1:12" ht="23.25" customHeight="1" x14ac:dyDescent="0.25">
      <c r="A10" s="15">
        <v>1</v>
      </c>
      <c r="B10" s="15" t="s">
        <v>31</v>
      </c>
      <c r="C10" s="15" t="s">
        <v>30</v>
      </c>
      <c r="D10" s="16" t="s">
        <v>55</v>
      </c>
      <c r="E10" s="17">
        <v>45661</v>
      </c>
      <c r="F10" s="16" t="s">
        <v>49</v>
      </c>
      <c r="G10" s="18">
        <v>1</v>
      </c>
      <c r="H10" s="19">
        <v>800000</v>
      </c>
      <c r="I10" s="20"/>
      <c r="J10" s="20"/>
      <c r="K10" s="19">
        <v>37500</v>
      </c>
      <c r="L10" s="19">
        <f>H10+I10+K10+J10</f>
        <v>837500</v>
      </c>
    </row>
    <row r="11" spans="1:12" ht="23.25" customHeight="1" x14ac:dyDescent="0.25">
      <c r="A11" s="15">
        <v>2</v>
      </c>
      <c r="B11" s="15" t="s">
        <v>31</v>
      </c>
      <c r="C11" s="15" t="s">
        <v>30</v>
      </c>
      <c r="D11" s="16" t="s">
        <v>56</v>
      </c>
      <c r="E11" s="17">
        <v>45665</v>
      </c>
      <c r="F11" s="16" t="s">
        <v>49</v>
      </c>
      <c r="G11" s="18">
        <v>2</v>
      </c>
      <c r="H11" s="19">
        <v>1600000</v>
      </c>
      <c r="I11" s="20"/>
      <c r="J11" s="20"/>
      <c r="K11" s="19">
        <v>75000</v>
      </c>
      <c r="L11" s="19">
        <f t="shared" ref="L11:L18" si="0">H11+I11+K11+J11</f>
        <v>1675000</v>
      </c>
    </row>
    <row r="12" spans="1:12" ht="23.25" customHeight="1" x14ac:dyDescent="0.25">
      <c r="A12" s="15">
        <v>3</v>
      </c>
      <c r="B12" s="15" t="s">
        <v>31</v>
      </c>
      <c r="C12" s="15" t="s">
        <v>30</v>
      </c>
      <c r="D12" s="16" t="s">
        <v>36</v>
      </c>
      <c r="E12" s="17">
        <v>45685</v>
      </c>
      <c r="F12" s="16" t="s">
        <v>51</v>
      </c>
      <c r="G12" s="18">
        <v>1</v>
      </c>
      <c r="H12" s="19">
        <v>0</v>
      </c>
      <c r="I12" s="20"/>
      <c r="J12" s="20">
        <v>1837887</v>
      </c>
      <c r="K12" s="19">
        <v>0</v>
      </c>
      <c r="L12" s="19">
        <f t="shared" si="0"/>
        <v>1837887</v>
      </c>
    </row>
    <row r="13" spans="1:12" x14ac:dyDescent="0.25">
      <c r="A13" s="15">
        <v>4</v>
      </c>
      <c r="B13" s="15" t="s">
        <v>31</v>
      </c>
      <c r="C13" s="15" t="s">
        <v>30</v>
      </c>
      <c r="D13" s="16" t="s">
        <v>57</v>
      </c>
      <c r="E13" s="17">
        <v>45700</v>
      </c>
      <c r="F13" s="16" t="s">
        <v>39</v>
      </c>
      <c r="G13" s="18">
        <v>1</v>
      </c>
      <c r="H13" s="19">
        <v>500000</v>
      </c>
      <c r="I13" s="20"/>
      <c r="J13" s="20">
        <v>2317088</v>
      </c>
      <c r="K13" s="19">
        <v>37500</v>
      </c>
      <c r="L13" s="19">
        <f t="shared" si="0"/>
        <v>2854588</v>
      </c>
    </row>
    <row r="14" spans="1:12" ht="23.25" customHeight="1" x14ac:dyDescent="0.25">
      <c r="A14" s="15">
        <v>5</v>
      </c>
      <c r="B14" s="15" t="s">
        <v>31</v>
      </c>
      <c r="C14" s="15" t="s">
        <v>30</v>
      </c>
      <c r="D14" s="16" t="s">
        <v>40</v>
      </c>
      <c r="E14" s="17">
        <v>45712</v>
      </c>
      <c r="F14" s="16" t="s">
        <v>33</v>
      </c>
      <c r="G14" s="18">
        <v>4</v>
      </c>
      <c r="H14" s="19">
        <v>3200000</v>
      </c>
      <c r="I14" s="20"/>
      <c r="J14" s="20"/>
      <c r="K14" s="19">
        <v>150000</v>
      </c>
      <c r="L14" s="19">
        <f t="shared" si="0"/>
        <v>3350000</v>
      </c>
    </row>
    <row r="15" spans="1:12" ht="23.25" customHeight="1" x14ac:dyDescent="0.25">
      <c r="A15" s="15">
        <v>6</v>
      </c>
      <c r="B15" s="15" t="s">
        <v>31</v>
      </c>
      <c r="C15" s="15" t="s">
        <v>30</v>
      </c>
      <c r="D15" s="16" t="s">
        <v>40</v>
      </c>
      <c r="E15" s="17">
        <v>45712</v>
      </c>
      <c r="F15" s="16" t="s">
        <v>33</v>
      </c>
      <c r="G15" s="18">
        <v>3</v>
      </c>
      <c r="H15" s="19">
        <v>2400000</v>
      </c>
      <c r="I15" s="20"/>
      <c r="J15" s="20"/>
      <c r="K15" s="19">
        <v>112500</v>
      </c>
      <c r="L15" s="19">
        <f t="shared" si="0"/>
        <v>2512500</v>
      </c>
    </row>
    <row r="16" spans="1:12" ht="47.25" x14ac:dyDescent="0.25">
      <c r="A16" s="15">
        <v>7</v>
      </c>
      <c r="B16" s="15" t="s">
        <v>31</v>
      </c>
      <c r="C16" s="15" t="s">
        <v>30</v>
      </c>
      <c r="D16" s="16" t="s">
        <v>47</v>
      </c>
      <c r="E16" s="17">
        <v>45720</v>
      </c>
      <c r="F16" s="16" t="s">
        <v>58</v>
      </c>
      <c r="G16" s="18">
        <v>20</v>
      </c>
      <c r="H16" s="19">
        <v>0</v>
      </c>
      <c r="I16" s="20"/>
      <c r="J16" s="20"/>
      <c r="K16" s="19">
        <v>0</v>
      </c>
      <c r="L16" s="19">
        <f t="shared" si="0"/>
        <v>0</v>
      </c>
    </row>
    <row r="17" spans="1:12" ht="23.25" customHeight="1" x14ac:dyDescent="0.25">
      <c r="A17" s="15">
        <v>8</v>
      </c>
      <c r="B17" s="15" t="s">
        <v>31</v>
      </c>
      <c r="C17" s="15" t="s">
        <v>30</v>
      </c>
      <c r="D17" s="16" t="s">
        <v>48</v>
      </c>
      <c r="E17" s="17">
        <v>45748</v>
      </c>
      <c r="F17" s="16" t="s">
        <v>33</v>
      </c>
      <c r="G17" s="18">
        <v>1</v>
      </c>
      <c r="H17" s="19">
        <v>1050000</v>
      </c>
      <c r="I17" s="20"/>
      <c r="J17" s="20"/>
      <c r="K17" s="19">
        <v>37500</v>
      </c>
      <c r="L17" s="19">
        <f t="shared" si="0"/>
        <v>1087500</v>
      </c>
    </row>
    <row r="18" spans="1:12" ht="23.25" customHeight="1" x14ac:dyDescent="0.25">
      <c r="A18" s="15">
        <v>9</v>
      </c>
      <c r="B18" s="15" t="s">
        <v>31</v>
      </c>
      <c r="C18" s="15" t="s">
        <v>30</v>
      </c>
      <c r="D18" s="16" t="s">
        <v>64</v>
      </c>
      <c r="E18" s="17">
        <v>45769</v>
      </c>
      <c r="F18" s="16" t="s">
        <v>39</v>
      </c>
      <c r="G18" s="18">
        <v>4</v>
      </c>
      <c r="H18" s="19">
        <v>3200000</v>
      </c>
      <c r="I18" s="19"/>
      <c r="J18" s="20">
        <f>1639885+1103819</f>
        <v>2743704</v>
      </c>
      <c r="K18" s="19">
        <v>150000</v>
      </c>
      <c r="L18" s="19">
        <f t="shared" si="0"/>
        <v>6093704</v>
      </c>
    </row>
    <row r="19" spans="1:12" ht="23.25" customHeight="1" x14ac:dyDescent="0.25">
      <c r="A19" s="15">
        <v>10</v>
      </c>
      <c r="B19" s="15" t="s">
        <v>31</v>
      </c>
      <c r="C19" s="15" t="s">
        <v>30</v>
      </c>
      <c r="D19" s="16" t="s">
        <v>65</v>
      </c>
      <c r="E19" s="17">
        <v>45789</v>
      </c>
      <c r="F19" s="16" t="s">
        <v>61</v>
      </c>
      <c r="G19" s="18">
        <v>5</v>
      </c>
      <c r="H19" s="19">
        <f>720000+2806000</f>
        <v>3526000</v>
      </c>
      <c r="I19" s="19"/>
      <c r="J19" s="19">
        <f>1234307+1015184</f>
        <v>2249491</v>
      </c>
      <c r="K19" s="19">
        <v>187500</v>
      </c>
      <c r="L19" s="19">
        <f t="shared" ref="L19:L26" si="1">H19+I19+K19+J19</f>
        <v>5962991</v>
      </c>
    </row>
    <row r="20" spans="1:12" ht="31.5" x14ac:dyDescent="0.25">
      <c r="A20" s="15">
        <v>11</v>
      </c>
      <c r="B20" s="15" t="s">
        <v>31</v>
      </c>
      <c r="C20" s="15" t="s">
        <v>30</v>
      </c>
      <c r="D20" s="16" t="s">
        <v>66</v>
      </c>
      <c r="E20" s="17">
        <v>45797</v>
      </c>
      <c r="F20" s="16" t="s">
        <v>62</v>
      </c>
      <c r="G20" s="18">
        <v>2</v>
      </c>
      <c r="H20" s="20">
        <v>1810000</v>
      </c>
      <c r="I20" s="19"/>
      <c r="J20" s="19">
        <f>764070+900181</f>
        <v>1664251</v>
      </c>
      <c r="K20" s="19">
        <v>75000</v>
      </c>
      <c r="L20" s="19">
        <f t="shared" si="1"/>
        <v>3549251</v>
      </c>
    </row>
    <row r="21" spans="1:12" x14ac:dyDescent="0.25">
      <c r="A21" s="15">
        <v>12</v>
      </c>
      <c r="B21" s="15" t="s">
        <v>31</v>
      </c>
      <c r="C21" s="15" t="s">
        <v>30</v>
      </c>
      <c r="D21" s="16" t="s">
        <v>67</v>
      </c>
      <c r="E21" s="17">
        <v>45803</v>
      </c>
      <c r="F21" s="16" t="s">
        <v>63</v>
      </c>
      <c r="G21" s="18">
        <v>4</v>
      </c>
      <c r="H21" s="20">
        <v>2400000</v>
      </c>
      <c r="I21" s="19"/>
      <c r="J21" s="19">
        <v>0</v>
      </c>
      <c r="K21" s="19">
        <v>150000</v>
      </c>
      <c r="L21" s="19">
        <f t="shared" si="1"/>
        <v>2550000</v>
      </c>
    </row>
    <row r="22" spans="1:12" x14ac:dyDescent="0.25">
      <c r="A22" s="15">
        <v>13</v>
      </c>
      <c r="B22" s="15" t="s">
        <v>31</v>
      </c>
      <c r="C22" s="15" t="s">
        <v>30</v>
      </c>
      <c r="D22" s="16" t="s">
        <v>68</v>
      </c>
      <c r="E22" s="17">
        <v>45828</v>
      </c>
      <c r="F22" s="16" t="s">
        <v>49</v>
      </c>
      <c r="G22" s="18">
        <v>1</v>
      </c>
      <c r="H22" s="20">
        <v>0</v>
      </c>
      <c r="I22" s="19"/>
      <c r="J22" s="19">
        <v>0</v>
      </c>
      <c r="K22" s="19">
        <v>0</v>
      </c>
      <c r="L22" s="19">
        <f t="shared" si="1"/>
        <v>0</v>
      </c>
    </row>
    <row r="23" spans="1:12" x14ac:dyDescent="0.25">
      <c r="A23" s="15">
        <v>14</v>
      </c>
      <c r="B23" s="15" t="s">
        <v>31</v>
      </c>
      <c r="C23" s="15" t="s">
        <v>30</v>
      </c>
      <c r="D23" s="16" t="s">
        <v>69</v>
      </c>
      <c r="E23" s="17">
        <v>45831</v>
      </c>
      <c r="F23" s="16" t="s">
        <v>61</v>
      </c>
      <c r="G23" s="18">
        <v>2</v>
      </c>
      <c r="H23" s="20">
        <v>1800000</v>
      </c>
      <c r="I23" s="19"/>
      <c r="J23" s="19">
        <f>1224240+1000887</f>
        <v>2225127</v>
      </c>
      <c r="K23" s="19">
        <v>75000</v>
      </c>
      <c r="L23" s="19">
        <f t="shared" si="1"/>
        <v>4100127</v>
      </c>
    </row>
    <row r="24" spans="1:12" x14ac:dyDescent="0.25">
      <c r="A24" s="15">
        <v>15</v>
      </c>
      <c r="B24" s="15" t="s">
        <v>31</v>
      </c>
      <c r="C24" s="15"/>
      <c r="D24" s="16"/>
      <c r="E24" s="17"/>
      <c r="F24" s="16"/>
      <c r="G24" s="18"/>
      <c r="H24" s="20"/>
      <c r="I24" s="19"/>
      <c r="J24" s="19"/>
      <c r="K24" s="19"/>
      <c r="L24" s="19">
        <f t="shared" si="1"/>
        <v>0</v>
      </c>
    </row>
    <row r="25" spans="1:12" x14ac:dyDescent="0.25">
      <c r="A25" s="15">
        <v>16</v>
      </c>
      <c r="B25" s="15" t="s">
        <v>31</v>
      </c>
      <c r="C25" s="15"/>
      <c r="D25" s="16"/>
      <c r="E25" s="17"/>
      <c r="F25" s="16"/>
      <c r="G25" s="18"/>
      <c r="H25" s="20"/>
      <c r="I25" s="19"/>
      <c r="J25" s="19"/>
      <c r="K25" s="19"/>
      <c r="L25" s="19">
        <f t="shared" si="1"/>
        <v>0</v>
      </c>
    </row>
    <row r="26" spans="1:12" ht="23.25" customHeight="1" x14ac:dyDescent="0.25">
      <c r="A26" s="15">
        <v>17</v>
      </c>
      <c r="B26" s="15" t="s">
        <v>31</v>
      </c>
      <c r="C26" s="15"/>
      <c r="D26" s="16"/>
      <c r="E26" s="17"/>
      <c r="F26" s="16"/>
      <c r="G26" s="18"/>
      <c r="H26" s="20"/>
      <c r="I26" s="19"/>
      <c r="J26" s="19"/>
      <c r="K26" s="19"/>
      <c r="L26" s="19">
        <f t="shared" si="1"/>
        <v>0</v>
      </c>
    </row>
    <row r="27" spans="1:12" ht="23.25" customHeight="1" x14ac:dyDescent="0.25">
      <c r="A27" s="21"/>
      <c r="B27" s="21"/>
      <c r="C27" s="21"/>
      <c r="D27" s="21"/>
      <c r="E27" s="21"/>
      <c r="F27" s="21"/>
      <c r="G27" s="21"/>
      <c r="H27" s="22"/>
      <c r="I27" s="23"/>
      <c r="J27" s="23"/>
      <c r="K27" s="22"/>
      <c r="L27" s="22"/>
    </row>
    <row r="28" spans="1:12" ht="23.25" customHeight="1" x14ac:dyDescent="0.25">
      <c r="A28" s="34" t="s">
        <v>12</v>
      </c>
      <c r="B28" s="34"/>
      <c r="C28" s="34"/>
      <c r="D28" s="34"/>
      <c r="E28" s="34"/>
      <c r="F28" s="34"/>
      <c r="G28" s="34"/>
      <c r="H28" s="14">
        <f>SUM(H29:H29)</f>
        <v>0</v>
      </c>
      <c r="I28" s="14">
        <f>SUM(I29:I29)</f>
        <v>0</v>
      </c>
      <c r="J28" s="14">
        <f>SUM(J29:J29)</f>
        <v>0</v>
      </c>
      <c r="K28" s="14">
        <f>SUM(K29:K29)</f>
        <v>0</v>
      </c>
      <c r="L28" s="14">
        <f>SUM(L29:L29)</f>
        <v>0</v>
      </c>
    </row>
    <row r="29" spans="1:12" ht="31.5" x14ac:dyDescent="0.25">
      <c r="A29" s="18">
        <v>1</v>
      </c>
      <c r="B29" s="18" t="s">
        <v>27</v>
      </c>
      <c r="C29" s="18" t="s">
        <v>34</v>
      </c>
      <c r="D29" s="16"/>
      <c r="E29" s="17"/>
      <c r="F29" s="16"/>
      <c r="G29" s="18"/>
      <c r="H29" s="19"/>
      <c r="I29" s="20"/>
      <c r="J29" s="20"/>
      <c r="K29" s="19"/>
      <c r="L29" s="19">
        <f t="shared" ref="L29" si="2">H29+I29+K29+J29</f>
        <v>0</v>
      </c>
    </row>
    <row r="30" spans="1:12" ht="23.25" customHeight="1" x14ac:dyDescent="0.25">
      <c r="A30" s="21"/>
      <c r="B30" s="21"/>
      <c r="C30" s="21"/>
      <c r="D30" s="21"/>
      <c r="E30" s="21"/>
      <c r="F30" s="21"/>
      <c r="G30" s="21"/>
      <c r="H30" s="22"/>
      <c r="I30" s="23"/>
      <c r="J30" s="23"/>
      <c r="K30" s="22"/>
      <c r="L30" s="22"/>
    </row>
    <row r="31" spans="1:12" ht="23.25" customHeight="1" x14ac:dyDescent="0.25">
      <c r="A31" s="34" t="s">
        <v>12</v>
      </c>
      <c r="B31" s="34"/>
      <c r="C31" s="34"/>
      <c r="D31" s="34"/>
      <c r="E31" s="34"/>
      <c r="F31" s="34"/>
      <c r="G31" s="34"/>
      <c r="H31" s="14">
        <f>SUM(H32:H43)</f>
        <v>0</v>
      </c>
      <c r="I31" s="14">
        <f>SUM(I32:I43)</f>
        <v>0</v>
      </c>
      <c r="J31" s="14">
        <f>SUM(J32:J43)</f>
        <v>0</v>
      </c>
      <c r="K31" s="14">
        <f>SUM(K32:K43)</f>
        <v>675000</v>
      </c>
      <c r="L31" s="14">
        <f>SUM(L32:L43)</f>
        <v>675000</v>
      </c>
    </row>
    <row r="32" spans="1:12" ht="23.25" customHeight="1" x14ac:dyDescent="0.25">
      <c r="A32" s="24">
        <v>1</v>
      </c>
      <c r="B32" s="24" t="s">
        <v>29</v>
      </c>
      <c r="C32" s="24" t="s">
        <v>35</v>
      </c>
      <c r="D32" s="16" t="s">
        <v>59</v>
      </c>
      <c r="E32" s="17">
        <v>45670</v>
      </c>
      <c r="F32" s="16" t="s">
        <v>50</v>
      </c>
      <c r="G32" s="18">
        <v>5</v>
      </c>
      <c r="H32" s="19"/>
      <c r="I32" s="19"/>
      <c r="J32" s="19"/>
      <c r="K32" s="19">
        <v>0</v>
      </c>
      <c r="L32" s="19">
        <f t="shared" ref="L32:L43" si="3">H32+I32+K32+J32</f>
        <v>0</v>
      </c>
    </row>
    <row r="33" spans="1:12" ht="23.25" customHeight="1" x14ac:dyDescent="0.25">
      <c r="A33" s="24">
        <v>2</v>
      </c>
      <c r="B33" s="24" t="s">
        <v>29</v>
      </c>
      <c r="C33" s="24" t="s">
        <v>35</v>
      </c>
      <c r="D33" s="16" t="s">
        <v>37</v>
      </c>
      <c r="E33" s="17">
        <v>45693</v>
      </c>
      <c r="F33" s="16" t="s">
        <v>50</v>
      </c>
      <c r="G33" s="18">
        <v>10</v>
      </c>
      <c r="H33" s="19"/>
      <c r="I33" s="19"/>
      <c r="J33" s="19"/>
      <c r="K33" s="19">
        <v>375000</v>
      </c>
      <c r="L33" s="19">
        <f t="shared" si="3"/>
        <v>375000</v>
      </c>
    </row>
    <row r="34" spans="1:12" x14ac:dyDescent="0.25">
      <c r="A34" s="24">
        <v>3</v>
      </c>
      <c r="B34" s="24" t="s">
        <v>29</v>
      </c>
      <c r="C34" s="24" t="s">
        <v>35</v>
      </c>
      <c r="D34" s="16" t="s">
        <v>38</v>
      </c>
      <c r="E34" s="17">
        <v>45706</v>
      </c>
      <c r="F34" s="16" t="s">
        <v>50</v>
      </c>
      <c r="G34" s="18">
        <v>8</v>
      </c>
      <c r="H34" s="19"/>
      <c r="I34" s="19"/>
      <c r="J34" s="19"/>
      <c r="K34" s="19">
        <v>300000</v>
      </c>
      <c r="L34" s="19">
        <f t="shared" si="3"/>
        <v>300000</v>
      </c>
    </row>
    <row r="35" spans="1:12" x14ac:dyDescent="0.25">
      <c r="A35" s="24">
        <v>4</v>
      </c>
      <c r="B35" s="24" t="s">
        <v>29</v>
      </c>
      <c r="C35" s="24" t="s">
        <v>35</v>
      </c>
      <c r="D35" s="39" t="s">
        <v>70</v>
      </c>
      <c r="E35" s="40">
        <v>45748</v>
      </c>
      <c r="F35" s="16" t="s">
        <v>50</v>
      </c>
      <c r="G35" s="18">
        <v>22</v>
      </c>
      <c r="H35" s="19"/>
      <c r="I35" s="19"/>
      <c r="J35" s="19"/>
      <c r="K35" s="19">
        <v>0</v>
      </c>
      <c r="L35" s="19">
        <f t="shared" si="3"/>
        <v>0</v>
      </c>
    </row>
    <row r="36" spans="1:12" x14ac:dyDescent="0.25">
      <c r="A36" s="24">
        <v>5</v>
      </c>
      <c r="B36" s="24" t="s">
        <v>29</v>
      </c>
      <c r="C36" s="24" t="s">
        <v>35</v>
      </c>
      <c r="D36" s="39" t="s">
        <v>71</v>
      </c>
      <c r="E36" s="40">
        <v>45778</v>
      </c>
      <c r="F36" s="16" t="s">
        <v>50</v>
      </c>
      <c r="G36" s="18">
        <v>21</v>
      </c>
      <c r="H36" s="19"/>
      <c r="I36" s="19"/>
      <c r="J36" s="19"/>
      <c r="K36" s="19">
        <v>0</v>
      </c>
      <c r="L36" s="19">
        <f t="shared" si="3"/>
        <v>0</v>
      </c>
    </row>
    <row r="37" spans="1:12" x14ac:dyDescent="0.25">
      <c r="A37" s="24">
        <v>6</v>
      </c>
      <c r="B37" s="24" t="s">
        <v>29</v>
      </c>
      <c r="C37" s="24" t="s">
        <v>35</v>
      </c>
      <c r="D37" s="39" t="s">
        <v>72</v>
      </c>
      <c r="E37" s="40">
        <v>45807</v>
      </c>
      <c r="F37" s="16" t="s">
        <v>50</v>
      </c>
      <c r="G37" s="18">
        <v>20</v>
      </c>
      <c r="H37" s="19"/>
      <c r="I37" s="19"/>
      <c r="J37" s="19"/>
      <c r="K37" s="19">
        <v>0</v>
      </c>
      <c r="L37" s="19">
        <f t="shared" si="3"/>
        <v>0</v>
      </c>
    </row>
    <row r="38" spans="1:12" x14ac:dyDescent="0.25">
      <c r="A38" s="24">
        <v>7</v>
      </c>
      <c r="B38" s="24" t="s">
        <v>29</v>
      </c>
      <c r="C38" s="24"/>
      <c r="D38" s="39"/>
      <c r="E38" s="40"/>
      <c r="F38" s="16"/>
      <c r="G38" s="18"/>
      <c r="H38" s="19"/>
      <c r="I38" s="19"/>
      <c r="J38" s="19"/>
      <c r="K38" s="19"/>
      <c r="L38" s="19">
        <f t="shared" si="3"/>
        <v>0</v>
      </c>
    </row>
    <row r="39" spans="1:12" x14ac:dyDescent="0.25">
      <c r="A39" s="24">
        <v>8</v>
      </c>
      <c r="B39" s="24" t="s">
        <v>29</v>
      </c>
      <c r="C39" s="24"/>
      <c r="D39" s="39"/>
      <c r="E39" s="40"/>
      <c r="F39" s="16"/>
      <c r="G39" s="18"/>
      <c r="H39" s="19"/>
      <c r="I39" s="19"/>
      <c r="J39" s="19"/>
      <c r="K39" s="19"/>
      <c r="L39" s="19">
        <f t="shared" si="3"/>
        <v>0</v>
      </c>
    </row>
    <row r="40" spans="1:12" x14ac:dyDescent="0.25">
      <c r="A40" s="24">
        <v>9</v>
      </c>
      <c r="B40" s="24" t="s">
        <v>29</v>
      </c>
      <c r="C40" s="24"/>
      <c r="D40" s="16"/>
      <c r="E40" s="17"/>
      <c r="F40" s="16"/>
      <c r="G40" s="18"/>
      <c r="H40" s="19"/>
      <c r="I40" s="19"/>
      <c r="J40" s="19"/>
      <c r="K40" s="19"/>
      <c r="L40" s="19">
        <f t="shared" si="3"/>
        <v>0</v>
      </c>
    </row>
    <row r="41" spans="1:12" x14ac:dyDescent="0.25">
      <c r="A41" s="24">
        <v>10</v>
      </c>
      <c r="B41" s="24" t="s">
        <v>29</v>
      </c>
      <c r="C41" s="24"/>
      <c r="D41" s="16"/>
      <c r="E41" s="17"/>
      <c r="F41" s="16"/>
      <c r="G41" s="18"/>
      <c r="H41" s="19"/>
      <c r="I41" s="19"/>
      <c r="J41" s="19"/>
      <c r="K41" s="19"/>
      <c r="L41" s="19">
        <f t="shared" si="3"/>
        <v>0</v>
      </c>
    </row>
    <row r="42" spans="1:12" x14ac:dyDescent="0.25">
      <c r="A42" s="24">
        <v>11</v>
      </c>
      <c r="B42" s="24" t="s">
        <v>29</v>
      </c>
      <c r="C42" s="24"/>
      <c r="D42" s="16"/>
      <c r="E42" s="17"/>
      <c r="F42" s="16"/>
      <c r="G42" s="18"/>
      <c r="H42" s="19"/>
      <c r="I42" s="19"/>
      <c r="J42" s="19"/>
      <c r="K42" s="19"/>
      <c r="L42" s="19">
        <f t="shared" si="3"/>
        <v>0</v>
      </c>
    </row>
    <row r="43" spans="1:12" x14ac:dyDescent="0.25">
      <c r="A43" s="24">
        <v>12</v>
      </c>
      <c r="B43" s="24" t="s">
        <v>29</v>
      </c>
      <c r="C43" s="24"/>
      <c r="D43" s="16"/>
      <c r="E43" s="17"/>
      <c r="F43" s="16"/>
      <c r="G43" s="18"/>
      <c r="H43" s="19"/>
      <c r="I43" s="19"/>
      <c r="J43" s="19"/>
      <c r="K43" s="19"/>
      <c r="L43" s="19">
        <f t="shared" si="3"/>
        <v>0</v>
      </c>
    </row>
  </sheetData>
  <mergeCells count="15">
    <mergeCell ref="A3:L4"/>
    <mergeCell ref="A28:G28"/>
    <mergeCell ref="A31:G31"/>
    <mergeCell ref="H6:H7"/>
    <mergeCell ref="I6:J6"/>
    <mergeCell ref="K6:K7"/>
    <mergeCell ref="L6:L7"/>
    <mergeCell ref="D6:E6"/>
    <mergeCell ref="A9:G9"/>
    <mergeCell ref="A8:G8"/>
    <mergeCell ref="A6:A7"/>
    <mergeCell ref="B6:B7"/>
    <mergeCell ref="C6:C7"/>
    <mergeCell ref="F6:F7"/>
    <mergeCell ref="G6:G7"/>
  </mergeCells>
  <pageMargins left="3.937007874015748E-2" right="3.937007874015748E-2" top="0.15748031496062992" bottom="0.15748031496062992" header="0.19685039370078741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Хизмат сафари</vt:lpstr>
      <vt:lpstr>мансабдор шахслар хизмат сафари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2025-07-25T06:30:17Z</dcterms:modified>
</cp:coreProperties>
</file>