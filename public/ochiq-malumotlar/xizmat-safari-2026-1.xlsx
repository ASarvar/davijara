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2" i="8" l="1"/>
  <c r="J22" i="8"/>
  <c r="K22" i="8"/>
  <c r="L22" i="8"/>
  <c r="I9" i="8"/>
  <c r="J9" i="8"/>
  <c r="K9" i="8"/>
  <c r="L9" i="8"/>
  <c r="H5" i="7"/>
  <c r="E5" i="7"/>
  <c r="F5" i="7"/>
  <c r="G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M10" i="8"/>
  <c r="I5" i="7" l="1"/>
  <c r="M20" i="8" l="1"/>
  <c r="M19" i="8" s="1"/>
  <c r="M25" i="8" l="1"/>
  <c r="M26" i="8"/>
  <c r="M27" i="8"/>
  <c r="M28" i="8"/>
  <c r="M11" i="8" l="1"/>
  <c r="M12" i="8"/>
  <c r="M13" i="8"/>
  <c r="M14" i="8"/>
  <c r="M15" i="8"/>
  <c r="M16" i="8"/>
  <c r="M17" i="8"/>
  <c r="M9" i="8" l="1"/>
  <c r="L19" i="8"/>
  <c r="L8" i="8" s="1"/>
  <c r="J19" i="8"/>
  <c r="J8" i="8" s="1"/>
  <c r="I19" i="8"/>
  <c r="I8" i="8" s="1"/>
  <c r="K19" i="8"/>
  <c r="K8" i="8" s="1"/>
  <c r="M24" i="8" l="1"/>
  <c r="M23" i="8"/>
  <c r="M22" i="8" s="1"/>
  <c r="M8" i="8" s="1"/>
  <c r="C5" i="7" l="1"/>
</calcChain>
</file>

<file path=xl/sharedStrings.xml><?xml version="1.0" encoding="utf-8"?>
<sst xmlns="http://schemas.openxmlformats.org/spreadsheetml/2006/main" count="65" uniqueCount="47">
  <si>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</si>
  <si>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</si>
  <si>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</si>
  <si>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</si>
  <si>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</si>
  <si>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</si>
  <si>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</si>
  <si>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</si>
  <si>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</si>
  <si>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</si>
  <si>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</si>
  <si>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</si>
  <si>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</si>
  <si>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</si>
  <si>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</si>
  <si>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Хизмат сафари буйруғи рақами</t>
  </si>
  <si>
    <t>Хизмат сафари манзили</t>
  </si>
  <si>
    <t>Хизмат сафари даври
(кун)</t>
  </si>
  <si>
    <t>Транспорт харажатлари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</si>
  <si>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</si>
  <si>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</si>
  <si>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</si>
  <si>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</si>
  <si>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</si>
  <si>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</si>
  <si>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</si>
  <si>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</si>
  <si>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</si>
  <si>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</si>
  <si>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Директорнинг
1-уринбосари</t>
  </si>
  <si>
    <t>Директор ўринбосари</t>
  </si>
  <si>
    <t>10-хс</t>
  </si>
  <si>
    <t>3-хс</t>
  </si>
  <si>
    <t>Сурхондарё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</si>
  <si>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
 2026 йил    </t>
    </r>
    <r>
      <rPr>
        <b/>
        <sz val="12"/>
        <color rgb="FFFF0000"/>
        <rFont val="Times New Roman"/>
        <family val="1"/>
        <charset val="204"/>
      </rPr>
      <t xml:space="preserve">январь-март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</si>
  <si>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t>Тошкент ш.</t>
  </si>
  <si>
    <t>5-хс</t>
  </si>
  <si>
    <t>Навоий</t>
  </si>
  <si>
    <t>6-хс</t>
  </si>
  <si>
    <t>7-хс</t>
  </si>
  <si>
    <t>Кораколпогистон Республикаси</t>
  </si>
  <si>
    <t>Яшаш харажатлари</t>
  </si>
  <si>
    <t>Кунлик харажатлар</t>
  </si>
  <si>
    <t>Жами 
харажатлар</t>
  </si>
  <si>
    <t>Эгаллаб турган лавозими</t>
  </si>
  <si>
    <t>Сирдарё - Жиззах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</si>
  <si>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
</t>
    </r>
    <r>
      <rPr>
        <b/>
        <sz val="14"/>
        <color rgb="FFFF0000"/>
        <rFont val="Times New Roman"/>
        <family val="1"/>
        <charset val="204"/>
      </rPr>
      <t>2026</t>
    </r>
    <r>
      <rPr>
        <b/>
        <sz val="14"/>
        <color theme="1"/>
        <rFont val="Times New Roman"/>
        <family val="1"/>
        <charset val="204"/>
      </rPr>
      <t xml:space="preserve"> йилнинг </t>
    </r>
    <r>
      <rPr>
        <b/>
        <sz val="14"/>
        <color rgb="FFFF0000"/>
        <rFont val="Times New Roman"/>
        <family val="1"/>
        <charset val="204"/>
      </rPr>
      <t xml:space="preserve">январь-март  </t>
    </r>
    <r>
      <rPr>
        <b/>
        <sz val="14"/>
        <color theme="1"/>
        <rFont val="Times New Roman"/>
        <family val="1"/>
        <charset val="204"/>
      </rPr>
      <t>ойлари давомида хизмат сафари харажатлари тўғрисида 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</si>
</sst>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9" fillId="0" borderId="1" xfId="0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tabSelected="1" zoomScale="70" zoomScaleNormal="70" workbookViewId="0">
      <pane ySplit="5" topLeftCell="A6" activePane="bottomLeft" state="frozen"/>
      <selection pane="bottomLeft" activeCell="D6" sqref="D6"/>
    </sheetView>
  </sheetViews>
  <sheetFormatPr defaultRowHeight="18.75" x14ac:dyDescent="0.3"/>
  <cols>
    <col min="1" max="1" width="6.5703125" style="25" customWidth="1"/>
    <col min="2" max="2" width="13.5703125" style="25" customWidth="1"/>
    <col min="3" max="3" width="17" style="25" customWidth="1"/>
    <col min="4" max="4" width="67.28515625" style="25" customWidth="1"/>
    <col min="5" max="5" width="22.85546875" style="25" customWidth="1"/>
    <col min="6" max="8" width="18.7109375" style="25" customWidth="1"/>
    <col min="9" max="9" width="26" style="25" customWidth="1"/>
    <col min="10" max="10" width="20.140625" style="25" customWidth="1"/>
    <col min="11" max="11" width="20.5703125" style="25" customWidth="1"/>
    <col min="12" max="12" width="18" style="25" customWidth="1"/>
    <col min="13" max="13" width="14.42578125" style="25" customWidth="1"/>
    <col min="14" max="16384" width="9.140625" style="25"/>
  </cols>
  <sheetData>
    <row r="2" spans="1:13" ht="45.75" customHeight="1" x14ac:dyDescent="0.3">
      <c r="A2" s="32" t="s">
        <v>46</v>
      </c>
      <c r="B2" s="32"/>
      <c r="C2" s="32"/>
      <c r="D2" s="32"/>
      <c r="E2" s="32"/>
      <c r="F2" s="32"/>
      <c r="G2" s="32"/>
      <c r="H2" s="32"/>
      <c r="I2" s="32"/>
    </row>
    <row r="3" spans="1:13" x14ac:dyDescent="0.3">
      <c r="A3" s="25">
        <v>3</v>
      </c>
      <c r="I3" s="26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4</v>
      </c>
      <c r="F4" s="9" t="s">
        <v>5</v>
      </c>
      <c r="G4" s="9" t="s">
        <v>3</v>
      </c>
      <c r="H4" s="9" t="s">
        <v>6</v>
      </c>
      <c r="I4" s="9" t="s">
        <v>7</v>
      </c>
    </row>
    <row r="5" spans="1:13" x14ac:dyDescent="0.3">
      <c r="A5" s="33" t="s">
        <v>12</v>
      </c>
      <c r="B5" s="34"/>
      <c r="C5" s="9">
        <f>SUM(C6:C8)</f>
        <v>23</v>
      </c>
      <c r="D5" s="9"/>
      <c r="E5" s="3">
        <f>SUM(E6:E18)</f>
        <v>12174107</v>
      </c>
      <c r="F5" s="3">
        <f>SUM(F6:F18)</f>
        <v>6836944</v>
      </c>
      <c r="G5" s="3">
        <f>SUM(G6:G18)</f>
        <v>824000</v>
      </c>
      <c r="H5" s="3">
        <f>SUM(H6:H18)</f>
        <v>0</v>
      </c>
      <c r="I5" s="3">
        <f>SUM(I6:I18)</f>
        <v>19835051</v>
      </c>
      <c r="J5" s="27" t="s">
        <v>22</v>
      </c>
      <c r="K5" s="27"/>
      <c r="L5" s="27"/>
      <c r="M5" s="27"/>
    </row>
    <row r="6" spans="1:13" ht="44.25" customHeight="1" x14ac:dyDescent="0.3">
      <c r="A6" s="1">
        <v>1</v>
      </c>
      <c r="B6" s="1" t="s">
        <v>8</v>
      </c>
      <c r="C6" s="1">
        <v>6</v>
      </c>
      <c r="D6" s="8" t="s">
        <v>24</v>
      </c>
      <c r="E6" s="2">
        <v>838930</v>
      </c>
      <c r="F6" s="5">
        <v>1250000</v>
      </c>
      <c r="G6" s="2">
        <v>164800</v>
      </c>
      <c r="H6" s="2">
        <v>0</v>
      </c>
      <c r="I6" s="2">
        <f t="shared" ref="I6:I18" si="0">SUM(E6:H6)</f>
        <v>2253730</v>
      </c>
      <c r="J6" s="27"/>
      <c r="K6" s="27"/>
      <c r="L6" s="27"/>
    </row>
    <row r="7" spans="1:13" ht="44.25" customHeight="1" x14ac:dyDescent="0.3">
      <c r="A7" s="1">
        <v>2</v>
      </c>
      <c r="B7" s="1" t="s">
        <v>9</v>
      </c>
      <c r="C7" s="1">
        <v>11</v>
      </c>
      <c r="D7" s="8" t="s">
        <v>24</v>
      </c>
      <c r="E7" s="2">
        <v>11335177</v>
      </c>
      <c r="F7" s="2">
        <v>5586944</v>
      </c>
      <c r="G7" s="2">
        <v>659200</v>
      </c>
      <c r="H7" s="2">
        <v>0</v>
      </c>
      <c r="I7" s="2">
        <f t="shared" si="0"/>
        <v>17581321</v>
      </c>
      <c r="J7" s="27"/>
      <c r="K7" s="27"/>
      <c r="L7" s="27"/>
    </row>
    <row r="8" spans="1:13" ht="44.25" customHeight="1" x14ac:dyDescent="0.3">
      <c r="A8" s="6">
        <v>3</v>
      </c>
      <c r="B8" s="6" t="s">
        <v>10</v>
      </c>
      <c r="C8" s="6">
        <v>6</v>
      </c>
      <c r="D8" s="8" t="s">
        <v>24</v>
      </c>
      <c r="E8" s="7">
        <v>0</v>
      </c>
      <c r="F8" s="7">
        <v>0</v>
      </c>
      <c r="G8" s="7">
        <v>0</v>
      </c>
      <c r="H8" s="7">
        <v>0</v>
      </c>
      <c r="I8" s="2">
        <f t="shared" si="0"/>
        <v>0</v>
      </c>
      <c r="J8" s="27"/>
      <c r="K8" s="27"/>
      <c r="L8" s="27"/>
    </row>
    <row r="9" spans="1:13" s="28" customFormat="1" ht="44.25" customHeight="1" x14ac:dyDescent="0.3">
      <c r="A9" s="1"/>
      <c r="B9" s="1"/>
      <c r="C9" s="6"/>
      <c r="D9" s="8"/>
      <c r="E9" s="7"/>
      <c r="F9" s="7"/>
      <c r="G9" s="7"/>
      <c r="H9" s="7"/>
      <c r="I9" s="2">
        <f t="shared" si="0"/>
        <v>0</v>
      </c>
    </row>
    <row r="10" spans="1:13" s="28" customFormat="1" ht="44.25" customHeight="1" x14ac:dyDescent="0.3">
      <c r="A10" s="1"/>
      <c r="B10" s="1"/>
      <c r="C10" s="6"/>
      <c r="D10" s="8"/>
      <c r="E10" s="7"/>
      <c r="F10" s="7"/>
      <c r="G10" s="7"/>
      <c r="H10" s="7"/>
      <c r="I10" s="2">
        <f t="shared" si="0"/>
        <v>0</v>
      </c>
    </row>
    <row r="11" spans="1:13" s="28" customFormat="1" ht="44.25" customHeight="1" x14ac:dyDescent="0.3">
      <c r="A11" s="6"/>
      <c r="B11" s="6"/>
      <c r="C11" s="1"/>
      <c r="D11" s="8"/>
      <c r="E11" s="2"/>
      <c r="F11" s="2"/>
      <c r="G11" s="2"/>
      <c r="H11" s="2"/>
      <c r="I11" s="2">
        <f t="shared" si="0"/>
        <v>0</v>
      </c>
    </row>
    <row r="12" spans="1:13" ht="44.25" customHeight="1" x14ac:dyDescent="0.3">
      <c r="A12" s="1"/>
      <c r="B12" s="1"/>
      <c r="C12" s="1"/>
      <c r="D12" s="8"/>
      <c r="E12" s="2"/>
      <c r="F12" s="2"/>
      <c r="G12" s="2"/>
      <c r="H12" s="2"/>
      <c r="I12" s="2">
        <f t="shared" si="0"/>
        <v>0</v>
      </c>
    </row>
    <row r="13" spans="1:13" ht="44.25" customHeight="1" x14ac:dyDescent="0.3">
      <c r="A13" s="1"/>
      <c r="B13" s="1"/>
      <c r="C13" s="1"/>
      <c r="D13" s="8"/>
      <c r="E13" s="2"/>
      <c r="F13" s="2"/>
      <c r="G13" s="2"/>
      <c r="H13" s="2"/>
      <c r="I13" s="2">
        <f t="shared" si="0"/>
        <v>0</v>
      </c>
    </row>
    <row r="14" spans="1:13" ht="44.25" customHeight="1" x14ac:dyDescent="0.3">
      <c r="A14" s="6"/>
      <c r="B14" s="6"/>
      <c r="C14" s="1"/>
      <c r="D14" s="8"/>
      <c r="E14" s="2"/>
      <c r="F14" s="2"/>
      <c r="G14" s="2"/>
      <c r="H14" s="2"/>
      <c r="I14" s="2">
        <f t="shared" si="0"/>
        <v>0</v>
      </c>
    </row>
    <row r="15" spans="1:13" ht="44.25" customHeight="1" x14ac:dyDescent="0.3">
      <c r="A15" s="1"/>
      <c r="B15" s="1"/>
      <c r="C15" s="1"/>
      <c r="D15" s="8"/>
      <c r="E15" s="2"/>
      <c r="F15" s="2"/>
      <c r="G15" s="2"/>
      <c r="H15" s="2"/>
      <c r="I15" s="2">
        <f t="shared" si="0"/>
        <v>0</v>
      </c>
    </row>
    <row r="16" spans="1:13" ht="44.25" customHeight="1" x14ac:dyDescent="0.3">
      <c r="A16" s="1"/>
      <c r="B16" s="1"/>
      <c r="C16" s="1"/>
      <c r="D16" s="8"/>
      <c r="E16" s="2"/>
      <c r="F16" s="2"/>
      <c r="G16" s="2"/>
      <c r="H16" s="2"/>
      <c r="I16" s="2">
        <f t="shared" si="0"/>
        <v>0</v>
      </c>
    </row>
    <row r="17" spans="1:11" ht="44.25" customHeight="1" x14ac:dyDescent="0.3">
      <c r="A17" s="1"/>
      <c r="B17" s="1"/>
      <c r="C17" s="1"/>
      <c r="D17" s="8"/>
      <c r="E17" s="2"/>
      <c r="F17" s="2"/>
      <c r="G17" s="2"/>
      <c r="H17" s="2"/>
      <c r="I17" s="2">
        <f t="shared" si="0"/>
        <v>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0"/>
        <v>0</v>
      </c>
      <c r="J18" s="29"/>
      <c r="K18" s="27"/>
    </row>
    <row r="19" spans="1:11" x14ac:dyDescent="0.3">
      <c r="H19" s="27"/>
      <c r="I19" s="27"/>
      <c r="J19" s="27"/>
    </row>
    <row r="21" spans="1:11" x14ac:dyDescent="0.3">
      <c r="I21" s="27"/>
    </row>
    <row r="22" spans="1:11" x14ac:dyDescent="0.3">
      <c r="J22" s="27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8"/>
  <sheetViews>
    <sheetView zoomScale="69" zoomScaleNormal="69" workbookViewId="0">
      <pane ySplit="8" topLeftCell="A9" activePane="bottomLeft" state="frozen"/>
      <selection pane="bottomLeft" activeCell="C10" sqref="C10"/>
    </sheetView>
  </sheetViews>
  <sheetFormatPr defaultRowHeight="15.75" x14ac:dyDescent="0.25"/>
  <cols>
    <col min="1" max="1" width="9.140625" style="10"/>
    <col min="2" max="2" width="4.140625" style="10" customWidth="1"/>
    <col min="3" max="3" width="22.28515625" style="10" customWidth="1"/>
    <col min="4" max="4" width="23.42578125" style="10" customWidth="1"/>
    <col min="5" max="5" width="11" style="10" customWidth="1"/>
    <col min="6" max="6" width="12.5703125" style="10" customWidth="1"/>
    <col min="7" max="7" width="22.140625" style="11" customWidth="1"/>
    <col min="8" max="8" width="9.5703125" style="10" customWidth="1"/>
    <col min="9" max="9" width="17.7109375" style="10" customWidth="1"/>
    <col min="10" max="11" width="23.5703125" style="10" customWidth="1"/>
    <col min="12" max="12" width="20.7109375" style="10" customWidth="1"/>
    <col min="13" max="13" width="21.7109375" style="10" customWidth="1"/>
    <col min="14" max="16384" width="9.140625" style="10"/>
  </cols>
  <sheetData>
    <row r="3" spans="2:13" ht="20.25" customHeight="1" x14ac:dyDescent="0.25">
      <c r="B3" s="35" t="s">
        <v>34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2:13" ht="37.5" customHeight="1" x14ac:dyDescent="0.25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2:13" x14ac:dyDescent="0.25">
      <c r="M5" s="4" t="s">
        <v>13</v>
      </c>
    </row>
    <row r="6" spans="2:13" ht="37.5" customHeight="1" x14ac:dyDescent="0.25">
      <c r="B6" s="37" t="s">
        <v>0</v>
      </c>
      <c r="C6" s="37" t="s">
        <v>14</v>
      </c>
      <c r="D6" s="37" t="s">
        <v>44</v>
      </c>
      <c r="E6" s="36" t="s">
        <v>15</v>
      </c>
      <c r="F6" s="36"/>
      <c r="G6" s="37" t="s">
        <v>16</v>
      </c>
      <c r="H6" s="37" t="s">
        <v>17</v>
      </c>
      <c r="I6" s="39" t="s">
        <v>18</v>
      </c>
      <c r="J6" s="40"/>
      <c r="K6" s="37" t="s">
        <v>41</v>
      </c>
      <c r="L6" s="37" t="s">
        <v>42</v>
      </c>
      <c r="M6" s="37" t="s">
        <v>43</v>
      </c>
    </row>
    <row r="7" spans="2:13" ht="47.25" x14ac:dyDescent="0.25">
      <c r="B7" s="38"/>
      <c r="C7" s="38"/>
      <c r="D7" s="38"/>
      <c r="E7" s="12" t="s">
        <v>0</v>
      </c>
      <c r="F7" s="12" t="s">
        <v>28</v>
      </c>
      <c r="G7" s="38"/>
      <c r="H7" s="38"/>
      <c r="I7" s="13" t="s">
        <v>19</v>
      </c>
      <c r="J7" s="12" t="s">
        <v>20</v>
      </c>
      <c r="K7" s="38"/>
      <c r="L7" s="38"/>
      <c r="M7" s="38"/>
    </row>
    <row r="8" spans="2:13" x14ac:dyDescent="0.25">
      <c r="B8" s="36" t="s">
        <v>21</v>
      </c>
      <c r="C8" s="36"/>
      <c r="D8" s="36"/>
      <c r="E8" s="36"/>
      <c r="F8" s="36"/>
      <c r="G8" s="36"/>
      <c r="H8" s="36"/>
      <c r="I8" s="14">
        <f>+I19+I22+I9</f>
        <v>6488378</v>
      </c>
      <c r="J8" s="14">
        <f>+J19+J22+J9</f>
        <v>0</v>
      </c>
      <c r="K8" s="14">
        <f>+K19+K22+K9</f>
        <v>4686944</v>
      </c>
      <c r="L8" s="14">
        <f>+L19+L22+L9</f>
        <v>288400</v>
      </c>
      <c r="M8" s="14">
        <f>+M19+M22+M9</f>
        <v>11463722</v>
      </c>
    </row>
    <row r="9" spans="2:13" x14ac:dyDescent="0.25">
      <c r="B9" s="36" t="s">
        <v>12</v>
      </c>
      <c r="C9" s="36"/>
      <c r="D9" s="36"/>
      <c r="E9" s="36"/>
      <c r="F9" s="36"/>
      <c r="G9" s="36"/>
      <c r="H9" s="36"/>
      <c r="I9" s="14">
        <f>SUM(I10:I17)</f>
        <v>6488378</v>
      </c>
      <c r="J9" s="14">
        <f>SUM(J10:J17)</f>
        <v>0</v>
      </c>
      <c r="K9" s="14">
        <f>SUM(K10:K17)</f>
        <v>4686944</v>
      </c>
      <c r="L9" s="14">
        <f>SUM(L10:L17)</f>
        <v>288400</v>
      </c>
      <c r="M9" s="14">
        <f>SUM(M10:M17)</f>
        <v>11463722</v>
      </c>
    </row>
    <row r="10" spans="2:13" x14ac:dyDescent="0.25">
      <c r="B10" s="15">
        <v>1</v>
      </c>
      <c r="C10" s="15" t="s">
        <v>27</v>
      </c>
      <c r="D10" s="15" t="s">
        <v>26</v>
      </c>
      <c r="E10" s="16" t="s">
        <v>32</v>
      </c>
      <c r="F10" s="17">
        <v>46048</v>
      </c>
      <c r="G10" s="16" t="s">
        <v>45</v>
      </c>
      <c r="H10" s="18">
        <v>1</v>
      </c>
      <c r="I10" s="20">
        <v>0</v>
      </c>
      <c r="J10" s="20">
        <v>0</v>
      </c>
      <c r="K10" s="19">
        <v>0</v>
      </c>
      <c r="L10" s="19">
        <v>0</v>
      </c>
      <c r="M10" s="19">
        <f>K10+I10+L10+J10</f>
        <v>0</v>
      </c>
    </row>
    <row r="11" spans="2:13" ht="23.25" customHeight="1" x14ac:dyDescent="0.25">
      <c r="B11" s="15">
        <v>2</v>
      </c>
      <c r="C11" s="15" t="s">
        <v>27</v>
      </c>
      <c r="D11" s="15" t="s">
        <v>26</v>
      </c>
      <c r="E11" s="16" t="s">
        <v>36</v>
      </c>
      <c r="F11" s="17">
        <v>46050</v>
      </c>
      <c r="G11" s="16" t="s">
        <v>37</v>
      </c>
      <c r="H11" s="18">
        <v>2</v>
      </c>
      <c r="I11" s="20">
        <v>1230997</v>
      </c>
      <c r="J11" s="20">
        <v>0</v>
      </c>
      <c r="K11" s="19">
        <v>1100000</v>
      </c>
      <c r="L11" s="19">
        <v>82400</v>
      </c>
      <c r="M11" s="19">
        <f>K11+I11+L11+J11</f>
        <v>2413397</v>
      </c>
    </row>
    <row r="12" spans="2:13" ht="31.5" x14ac:dyDescent="0.25">
      <c r="B12" s="15">
        <v>3</v>
      </c>
      <c r="C12" s="15" t="s">
        <v>27</v>
      </c>
      <c r="D12" s="15" t="s">
        <v>26</v>
      </c>
      <c r="E12" s="16" t="s">
        <v>38</v>
      </c>
      <c r="F12" s="17">
        <v>46058</v>
      </c>
      <c r="G12" s="16" t="s">
        <v>40</v>
      </c>
      <c r="H12" s="18">
        <v>1</v>
      </c>
      <c r="I12" s="20">
        <v>1827847</v>
      </c>
      <c r="J12" s="20">
        <v>0</v>
      </c>
      <c r="K12" s="19">
        <v>1100000</v>
      </c>
      <c r="L12" s="19">
        <v>41200</v>
      </c>
      <c r="M12" s="19">
        <f>K12+I12+L12+J12</f>
        <v>2969047</v>
      </c>
    </row>
    <row r="13" spans="2:13" x14ac:dyDescent="0.25">
      <c r="B13" s="15">
        <v>4</v>
      </c>
      <c r="C13" s="15" t="s">
        <v>27</v>
      </c>
      <c r="D13" s="15" t="s">
        <v>26</v>
      </c>
      <c r="E13" s="16" t="s">
        <v>39</v>
      </c>
      <c r="F13" s="17">
        <v>46063</v>
      </c>
      <c r="G13" s="16" t="s">
        <v>37</v>
      </c>
      <c r="H13" s="18">
        <v>1</v>
      </c>
      <c r="I13" s="20">
        <v>1316179</v>
      </c>
      <c r="J13" s="20">
        <v>0</v>
      </c>
      <c r="K13" s="19">
        <v>550000</v>
      </c>
      <c r="L13" s="19">
        <v>41200</v>
      </c>
      <c r="M13" s="19">
        <f>K13+I13+L13+J13</f>
        <v>1907379</v>
      </c>
    </row>
    <row r="14" spans="2:13" ht="23.25" customHeight="1" x14ac:dyDescent="0.25">
      <c r="B14" s="15">
        <v>5</v>
      </c>
      <c r="C14" s="15" t="s">
        <v>27</v>
      </c>
      <c r="D14" s="15" t="s">
        <v>26</v>
      </c>
      <c r="E14" s="16" t="s">
        <v>31</v>
      </c>
      <c r="F14" s="17">
        <v>46071</v>
      </c>
      <c r="G14" s="16" t="s">
        <v>33</v>
      </c>
      <c r="H14" s="18">
        <v>3</v>
      </c>
      <c r="I14" s="20">
        <v>2113355</v>
      </c>
      <c r="J14" s="20">
        <v>0</v>
      </c>
      <c r="K14" s="19">
        <v>1936944</v>
      </c>
      <c r="L14" s="19">
        <v>123600</v>
      </c>
      <c r="M14" s="19">
        <f>K14+I14+L14+J14</f>
        <v>4173899</v>
      </c>
    </row>
    <row r="15" spans="2:13" ht="23.25" customHeight="1" x14ac:dyDescent="0.25">
      <c r="B15" s="15">
        <v>6</v>
      </c>
      <c r="C15" s="15"/>
      <c r="D15" s="15"/>
      <c r="E15" s="16"/>
      <c r="F15" s="17"/>
      <c r="G15" s="16"/>
      <c r="H15" s="18"/>
      <c r="I15" s="20"/>
      <c r="J15" s="20"/>
      <c r="K15" s="19"/>
      <c r="L15" s="19"/>
      <c r="M15" s="19">
        <f>K15+I15+L15+J15</f>
        <v>0</v>
      </c>
    </row>
    <row r="16" spans="2:13" x14ac:dyDescent="0.25">
      <c r="B16" s="15">
        <v>7</v>
      </c>
      <c r="C16" s="15"/>
      <c r="D16" s="15"/>
      <c r="E16" s="16"/>
      <c r="F16" s="17"/>
      <c r="G16" s="16"/>
      <c r="H16" s="18"/>
      <c r="I16" s="20"/>
      <c r="J16" s="20"/>
      <c r="K16" s="19"/>
      <c r="L16" s="19"/>
      <c r="M16" s="19">
        <f>K16+I16+L16+J16</f>
        <v>0</v>
      </c>
    </row>
    <row r="17" spans="2:13" ht="23.25" customHeight="1" x14ac:dyDescent="0.25">
      <c r="B17" s="15">
        <v>8</v>
      </c>
      <c r="C17" s="15"/>
      <c r="D17" s="15"/>
      <c r="E17" s="16"/>
      <c r="F17" s="17"/>
      <c r="G17" s="16"/>
      <c r="H17" s="18"/>
      <c r="I17" s="20"/>
      <c r="J17" s="20"/>
      <c r="K17" s="19"/>
      <c r="L17" s="19"/>
      <c r="M17" s="19">
        <f>K17+I17+L17+J17</f>
        <v>0</v>
      </c>
    </row>
    <row r="18" spans="2:13" ht="23.25" customHeight="1" x14ac:dyDescent="0.25">
      <c r="B18" s="21"/>
      <c r="C18" s="21"/>
      <c r="D18" s="21"/>
      <c r="E18" s="21"/>
      <c r="F18" s="21"/>
      <c r="G18" s="21"/>
      <c r="H18" s="21"/>
      <c r="I18" s="23"/>
      <c r="J18" s="23"/>
      <c r="K18" s="22"/>
      <c r="L18" s="22"/>
      <c r="M18" s="22"/>
    </row>
    <row r="19" spans="2:13" ht="23.25" customHeight="1" x14ac:dyDescent="0.25">
      <c r="B19" s="36" t="s">
        <v>12</v>
      </c>
      <c r="C19" s="36"/>
      <c r="D19" s="36"/>
      <c r="E19" s="36"/>
      <c r="F19" s="36"/>
      <c r="G19" s="36"/>
      <c r="H19" s="36"/>
      <c r="I19" s="14">
        <f>SUM(I20:I20)</f>
        <v>0</v>
      </c>
      <c r="J19" s="14">
        <f>SUM(J20:J20)</f>
        <v>0</v>
      </c>
      <c r="K19" s="14">
        <f>SUM(K20:K20)</f>
        <v>0</v>
      </c>
      <c r="L19" s="14">
        <f>SUM(L20:L20)</f>
        <v>0</v>
      </c>
      <c r="M19" s="14">
        <f>SUM(M20:M20)</f>
        <v>0</v>
      </c>
    </row>
    <row r="20" spans="2:13" ht="31.5" x14ac:dyDescent="0.25">
      <c r="B20" s="18">
        <v>1</v>
      </c>
      <c r="C20" s="18" t="s">
        <v>23</v>
      </c>
      <c r="D20" s="18" t="s">
        <v>29</v>
      </c>
      <c r="E20" s="16" t="s">
        <v>32</v>
      </c>
      <c r="F20" s="17">
        <v>46048</v>
      </c>
      <c r="G20" s="16" t="s">
        <v>35</v>
      </c>
      <c r="H20" s="18">
        <v>1</v>
      </c>
      <c r="I20" s="20">
        <v>0</v>
      </c>
      <c r="J20" s="20">
        <v>0</v>
      </c>
      <c r="K20" s="19">
        <v>0</v>
      </c>
      <c r="L20" s="19">
        <v>0</v>
      </c>
      <c r="M20" s="19">
        <f>K20+I20+L20+J20</f>
        <v>0</v>
      </c>
    </row>
    <row r="21" spans="2:13" ht="23.25" customHeight="1" x14ac:dyDescent="0.25">
      <c r="B21" s="21"/>
      <c r="C21" s="21"/>
      <c r="D21" s="21"/>
      <c r="E21" s="21"/>
      <c r="F21" s="21"/>
      <c r="G21" s="21"/>
      <c r="H21" s="21"/>
      <c r="I21" s="23"/>
      <c r="J21" s="23"/>
      <c r="K21" s="22"/>
      <c r="L21" s="22"/>
      <c r="M21" s="22"/>
    </row>
    <row r="22" spans="2:13" ht="23.25" customHeight="1" x14ac:dyDescent="0.25">
      <c r="B22" s="36" t="s">
        <v>12</v>
      </c>
      <c r="C22" s="36"/>
      <c r="D22" s="36"/>
      <c r="E22" s="36"/>
      <c r="F22" s="36"/>
      <c r="G22" s="36"/>
      <c r="H22" s="36"/>
      <c r="I22" s="14">
        <f>SUM(I23:I28)</f>
        <v>0</v>
      </c>
      <c r="J22" s="14">
        <f>SUM(J23:J28)</f>
        <v>0</v>
      </c>
      <c r="K22" s="14">
        <f>SUM(K23:K28)</f>
        <v>0</v>
      </c>
      <c r="L22" s="14">
        <f>SUM(L23:L28)</f>
        <v>0</v>
      </c>
      <c r="M22" s="14">
        <f>SUM(M23:M28)</f>
        <v>0</v>
      </c>
    </row>
    <row r="23" spans="2:13" ht="23.25" customHeight="1" x14ac:dyDescent="0.25">
      <c r="B23" s="24">
        <v>1</v>
      </c>
      <c r="C23" s="24" t="s">
        <v>25</v>
      </c>
      <c r="D23" s="18" t="s">
        <v>30</v>
      </c>
      <c r="E23" s="16"/>
      <c r="F23" s="17"/>
      <c r="G23" s="16"/>
      <c r="H23" s="18"/>
      <c r="I23" s="19"/>
      <c r="J23" s="19"/>
      <c r="K23" s="19"/>
      <c r="L23" s="19"/>
      <c r="M23" s="19">
        <f>K23+I23+L23+J23</f>
        <v>0</v>
      </c>
    </row>
    <row r="24" spans="2:13" ht="23.25" customHeight="1" x14ac:dyDescent="0.25">
      <c r="B24" s="24"/>
      <c r="C24" s="24"/>
      <c r="D24" s="24"/>
      <c r="E24" s="16"/>
      <c r="F24" s="17"/>
      <c r="G24" s="16"/>
      <c r="H24" s="18"/>
      <c r="I24" s="19"/>
      <c r="J24" s="19"/>
      <c r="K24" s="19"/>
      <c r="L24" s="19"/>
      <c r="M24" s="19">
        <f>K24+I24+L24+J24</f>
        <v>0</v>
      </c>
    </row>
    <row r="25" spans="2:13" x14ac:dyDescent="0.25">
      <c r="B25" s="24"/>
      <c r="C25" s="24"/>
      <c r="D25" s="24"/>
      <c r="E25" s="16"/>
      <c r="F25" s="17"/>
      <c r="G25" s="16"/>
      <c r="H25" s="18"/>
      <c r="I25" s="19"/>
      <c r="J25" s="19"/>
      <c r="K25" s="19"/>
      <c r="L25" s="19"/>
      <c r="M25" s="19">
        <f>K25+I25+L25+J25</f>
        <v>0</v>
      </c>
    </row>
    <row r="26" spans="2:13" x14ac:dyDescent="0.25">
      <c r="B26" s="24"/>
      <c r="C26" s="24"/>
      <c r="D26" s="24"/>
      <c r="E26" s="30"/>
      <c r="F26" s="31"/>
      <c r="G26" s="16"/>
      <c r="H26" s="18"/>
      <c r="I26" s="19"/>
      <c r="J26" s="19"/>
      <c r="K26" s="19"/>
      <c r="L26" s="19"/>
      <c r="M26" s="19">
        <f>K26+I26+L26+J26</f>
        <v>0</v>
      </c>
    </row>
    <row r="27" spans="2:13" x14ac:dyDescent="0.25">
      <c r="B27" s="24"/>
      <c r="C27" s="24"/>
      <c r="D27" s="24"/>
      <c r="E27" s="30"/>
      <c r="F27" s="31"/>
      <c r="G27" s="16"/>
      <c r="H27" s="18"/>
      <c r="I27" s="19"/>
      <c r="J27" s="19"/>
      <c r="K27" s="19"/>
      <c r="L27" s="19"/>
      <c r="M27" s="19">
        <f>K27+I27+L27+J27</f>
        <v>0</v>
      </c>
    </row>
    <row r="28" spans="2:13" x14ac:dyDescent="0.25">
      <c r="B28" s="24"/>
      <c r="C28" s="24"/>
      <c r="D28" s="24"/>
      <c r="E28" s="30"/>
      <c r="F28" s="31"/>
      <c r="G28" s="16"/>
      <c r="H28" s="18"/>
      <c r="I28" s="19"/>
      <c r="J28" s="19"/>
      <c r="K28" s="19"/>
      <c r="L28" s="19"/>
      <c r="M28" s="19">
        <f>K28+I28+L28+J28</f>
        <v>0</v>
      </c>
    </row>
  </sheetData>
  <mergeCells count="15">
    <mergeCell ref="B3:M4"/>
    <mergeCell ref="B19:H19"/>
    <mergeCell ref="B22:H22"/>
    <mergeCell ref="K6:K7"/>
    <mergeCell ref="I6:J6"/>
    <mergeCell ref="L6:L7"/>
    <mergeCell ref="M6:M7"/>
    <mergeCell ref="E6:F6"/>
    <mergeCell ref="B9:H9"/>
    <mergeCell ref="B8:H8"/>
    <mergeCell ref="B6:B7"/>
    <mergeCell ref="C6:C7"/>
    <mergeCell ref="D6:D7"/>
    <mergeCell ref="G6:G7"/>
    <mergeCell ref="H6:H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2026-05-02T09:21:44Z</dcterms:modified>
</cp:coreProperties>
</file>