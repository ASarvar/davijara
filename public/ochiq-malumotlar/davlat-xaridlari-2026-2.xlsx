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7" rupBuild="14420"/>
  <workbookPr filterPrivacy="1" defaultThemeVersion="124226"/>
  <bookViews>
    <workbookView xWindow="0" yWindow="0" windowWidth="25605" windowHeight="10500"/>
  </bookViews>
  <sheets>
    <sheet name="Шартномалар" sheetId="6" r:id="rId1"/>
  </sheets>
  <definedNames>
    <definedName name="_xlnm._FilterDatabase" localSheetId="0" hidden="1">Шартномалар!$A$3:$N$32</definedName>
    <definedName name="_xlnm.Print_Area" localSheetId="0">Шартномалар!$A$1:$N$21</definedName>
  </definedNames>
  <calcPr calcId="162913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J49" i="6" l="1"/>
  <c r="I47" i="6"/>
  <c r="I46" i="6"/>
  <c r="I45" i="6"/>
  <c r="I44" i="6"/>
  <c r="I43" i="6"/>
  <c r="I42" i="6"/>
  <c r="I41" i="6"/>
  <c r="I40" i="6"/>
  <c r="I39" i="6"/>
  <c r="I38" i="6"/>
  <c r="I37" i="6"/>
  <c r="I36" i="6"/>
  <c r="J30" i="6" l="1"/>
  <c r="J23" i="6"/>
  <c r="J22" i="6"/>
  <c r="J20" i="6"/>
  <c r="J19" i="6"/>
  <c r="J12" i="6" l="1"/>
  <c r="J24" i="6" l="1"/>
  <c r="J25" i="6"/>
  <c r="J26" i="6"/>
  <c r="J27" i="6"/>
  <c r="J28" i="6"/>
  <c r="J29" i="6"/>
  <c r="I19" i="6"/>
  <c r="J8" i="6" l="1"/>
  <c r="J9" i="6"/>
  <c r="J13" i="6"/>
  <c r="I6" i="6" l="1"/>
  <c r="J6" i="6" s="1"/>
  <c r="I10" i="6"/>
  <c r="J10" i="6" s="1"/>
  <c r="I11" i="6"/>
  <c r="J11" i="6" s="1"/>
  <c r="I14" i="6"/>
  <c r="J14" i="6" s="1"/>
  <c r="I15" i="6"/>
  <c r="J15" i="6" s="1"/>
  <c r="I16" i="6"/>
  <c r="J16" i="6" s="1"/>
  <c r="I17" i="6"/>
  <c r="J17" i="6" s="1"/>
  <c r="I18" i="6"/>
  <c r="J18" i="6" s="1"/>
  <c r="I7" i="6"/>
  <c r="J7" i="6" s="1"/>
</calcChain>
</file>

<file path=xl/sharedStrings.xml><?xml version="1.0" encoding="utf-8"?>
<sst xmlns="http://schemas.openxmlformats.org/spreadsheetml/2006/main" count="335" uniqueCount="112">
  <si>
    <t>№</t>
  </si>
  <si>
    <t xml:space="preserve"> </t>
  </si>
  <si>
    <t>soʻm</t>
  </si>
  <si>
    <t>Hisobot davri 
(oy)</t>
  </si>
  <si>
    <t>Iqtisodiy tasnif boʻyicha xarajat moddasi</t>
  </si>
  <si>
    <t>Xarid qilinishi lozim boʻlgan tovar (xizmat)lar nomi</t>
  </si>
  <si>
    <t>Rejalashtirilgan mablagʻ</t>
  </si>
  <si>
    <t>Xarid qilinshi rejalashtirilgan tovar (xizmat)lar oʻlchov birligi (imkoniyat darajasida)</t>
  </si>
  <si>
    <t>Xarid qilingan tovar (xizmat)lar miqdori</t>
  </si>
  <si>
    <t>Narxi</t>
  </si>
  <si>
    <t>Summasi</t>
  </si>
  <si>
    <t>Maqsadi (markaziy apparat yoki tassarufidagi muassalar ehtiyoji uchun)</t>
  </si>
  <si>
    <t>Amalga oshirilgan xarid turi (birja, tender savdolari, toʻgʻridan-toʻgʻri va x.k.)</t>
  </si>
  <si>
    <t>Tovar (xizmat)lar yetkazib beruvchi nomi</t>
  </si>
  <si>
    <t>Xarid qilingan tovarlar (xizmatlar)ning joylarga yetkazilishi (%)</t>
  </si>
  <si>
    <t>mart</t>
  </si>
  <si>
    <t>Markaziy apparat</t>
  </si>
  <si>
    <t>Mablagʻlar manbai (budjet, budjetdan tashqari, jamgʻarma mablagʻlari</t>
  </si>
  <si>
    <t>budjetdan tashqari</t>
  </si>
  <si>
    <t>1-chorak</t>
  </si>
  <si>
    <t>budjetdan tashqari hisobidan</t>
  </si>
  <si>
    <t>л</t>
  </si>
  <si>
    <t>Услуга по замене запчастей автомобиля</t>
  </si>
  <si>
    <t>yanvar</t>
  </si>
  <si>
    <t>fevral</t>
  </si>
  <si>
    <t>усл. ед</t>
  </si>
  <si>
    <t>Услуга по доступу к сети 
Интернет</t>
  </si>
  <si>
    <t>Услуга по доступу к сети 
Интернет (VPN)</t>
  </si>
  <si>
    <t>Возмещению расходов по коммунальному обслуживанию арендуемого помещения</t>
  </si>
  <si>
    <t>Услуга по платному телевидению</t>
  </si>
  <si>
    <t>Абонентская плата за  электрон-ной системы  «Ijro.gov.uz»</t>
  </si>
  <si>
    <t>Услуга по техническому сопровождению программа ARGOS</t>
  </si>
  <si>
    <t>Предоставление консультативных услуг или экспертного заключения по вопросам информационных технологий, связанных с системами информационных технологий и программным обеспечением</t>
  </si>
  <si>
    <t xml:space="preserve">Услуга по сотовой (мобильной) связи </t>
  </si>
  <si>
    <t>683 988,00</t>
  </si>
  <si>
    <t>27 000 000</t>
  </si>
  <si>
    <t>45 936 000,00</t>
  </si>
  <si>
    <t>7 656 000,00</t>
  </si>
  <si>
    <t>:Услуга по технической поддержке информационных технологий</t>
  </si>
  <si>
    <t xml:space="preserve">Услуга по технической поддержке информационных технологий </t>
  </si>
  <si>
    <t>усл. Ед</t>
  </si>
  <si>
    <t>40 921 830,00</t>
  </si>
  <si>
    <t>Бензин автомобильный</t>
  </si>
  <si>
    <t>7 341 000</t>
  </si>
  <si>
    <t>MK DIRECT MCHJ</t>
  </si>
  <si>
    <t>O`ZBEKISTON RESPUBLIKASI DAVLAT AKTIVLARINI BOSHQARISH AGE</t>
  </si>
  <si>
    <t>ООО UNG Petro</t>
  </si>
  <si>
    <t>"KIBERXAVFSIZLIK MARKAZI" DUK,</t>
  </si>
  <si>
    <t>Научно-информационный центр "Янги технологиялар"</t>
  </si>
  <si>
    <t>ООО REALSOFT,</t>
  </si>
  <si>
    <t>UNIVERSAL MOBILE SYSTEMS MCHJ,</t>
  </si>
  <si>
    <t>АО O`ZBEKTELEKOM,</t>
  </si>
  <si>
    <t>OOO "Единый интегратор - UZINFOCOM",</t>
  </si>
  <si>
    <t>ООО UNICON-SOFT</t>
  </si>
  <si>
    <t>"RADIOALOQA RADIOESHITTIRISH VA TELEVIDENIE МARKAZI" MCHJ,</t>
  </si>
  <si>
    <t>Единый поставщик</t>
  </si>
  <si>
    <t>Прямой электронный договор</t>
  </si>
  <si>
    <t>CARAT-SUV MCHJ</t>
  </si>
  <si>
    <t>O‘ZBEKISTON RESPUBLIKASI ADLIYA VAZIRLIGI QOSHIDAGI "ADOLAT" MILLIY HUQUQIY AXBOROT MARKAZI</t>
  </si>
  <si>
    <t>POWER MAX GROUP MCHJ</t>
  </si>
  <si>
    <t>ООО UMAKANSUL BUSINESS</t>
  </si>
  <si>
    <t>NEW PRICE OK</t>
  </si>
  <si>
    <t>DESKFORM MCHJ</t>
  </si>
  <si>
    <t>электронный магазин</t>
  </si>
  <si>
    <t>Услуга по перевозке (доставке) населению питьевой воды</t>
  </si>
  <si>
    <t>Книги печатные</t>
  </si>
  <si>
    <t>Ручка канцелярская</t>
  </si>
  <si>
    <t>Карандаши простые и цветные с грифелями в твердой оболочке</t>
  </si>
  <si>
    <t>Маркер</t>
  </si>
  <si>
    <t>Скобы для степлера канцелярского</t>
  </si>
  <si>
    <t>Бумага для офисной техники белая</t>
  </si>
  <si>
    <t>Точилка канцелярская для карандашей</t>
  </si>
  <si>
    <t>шт</t>
  </si>
  <si>
    <t>компл</t>
  </si>
  <si>
    <t>пачк.</t>
  </si>
  <si>
    <t>пачка</t>
  </si>
  <si>
    <t>4252300</t>
  </si>
  <si>
    <t>4252110</t>
  </si>
  <si>
    <t>4234940</t>
  </si>
  <si>
    <t>4234100</t>
  </si>
  <si>
    <t>4252120</t>
  </si>
  <si>
    <t>4299990</t>
  </si>
  <si>
    <t>4292100</t>
  </si>
  <si>
    <t>4252500</t>
  </si>
  <si>
    <t>4292200</t>
  </si>
  <si>
    <t>Жами 1 квартал</t>
  </si>
  <si>
    <t>aprel</t>
  </si>
  <si>
    <t>Запрос предложений</t>
  </si>
  <si>
    <t>SIGMA AUTOSERVICE MCHJ</t>
  </si>
  <si>
    <t>"UNG PETRO" MCHJ</t>
  </si>
  <si>
    <t>may</t>
  </si>
  <si>
    <t>ХК  "ERKIN AVTO BIZNES"</t>
  </si>
  <si>
    <t>iyun</t>
  </si>
  <si>
    <t>BINO VA MOL-MULKLARNI VAQTINCHALIK SAQLASH DIREKSIYASI DM</t>
  </si>
  <si>
    <t>Карта флеш памяти</t>
  </si>
  <si>
    <t>SAKHAD BIZNES MCHJ</t>
  </si>
  <si>
    <t>Услуга по организации внутри республиканской видео конференцсвязи</t>
  </si>
  <si>
    <t>"SOFTY" MCHJ</t>
  </si>
  <si>
    <t>Услуга по страхованию гражданской ответственности владельцев автотранспортных средств</t>
  </si>
  <si>
    <t>"NISHON AVTO O`QUV" MCHJ</t>
  </si>
  <si>
    <t>Картридж для принтера</t>
  </si>
  <si>
    <t>VIVA ONLINE GROUP MCHJ</t>
  </si>
  <si>
    <t>Услуга по организации краткосрочных курсов профессионального обучения</t>
  </si>
  <si>
    <t>чел.</t>
  </si>
  <si>
    <t>YANGI BOZOR BO Y.MUT.TA MCHJ</t>
  </si>
  <si>
    <t>Услуга по организации учебного семинара</t>
  </si>
  <si>
    <t>"O‘ZBEKISTON RESPUBLIKASI HUQUQNI MUHOFAZA QILISH AKADEMIYASI" DM</t>
  </si>
  <si>
    <t>O‘ZBEKISTON RESPUBLIKASI ADLIYA VAZIRLIGI HUZURIDAGI YURIDIK KADRLARNI QAYTA TAYYORLASH VA MALAKASI</t>
  </si>
  <si>
    <t>Услуга передачи данных в том числе и интернет с обеспечением соответствующего уровня безопасности</t>
  </si>
  <si>
    <t>"ONE-NET" MCHJ</t>
  </si>
  <si>
    <t>Жами 2 квартал</t>
  </si>
  <si>
    <r>
      <t xml:space="preserve">Davlat aktivlarini boshqarish agentligi xuzuridagi Davlat mulki obyektlaridan samarali foydalanish markazining budjet va budjetdan tashqari mablagʻlari hisobiga 2026-yil </t>
    </r>
    <r>
      <rPr>
        <b/>
        <sz val="14"/>
        <color rgb="FFFF0000"/>
        <rFont val="Times New Roman"/>
        <family val="1"/>
        <charset val="204"/>
      </rPr>
      <t xml:space="preserve">yanvar- iyun </t>
    </r>
    <r>
      <rPr>
        <b/>
        <sz val="14"/>
        <color theme="1"/>
        <rFont val="Times New Roman"/>
        <family val="1"/>
        <charset val="204"/>
      </rPr>
      <t xml:space="preserve"> oylarida amalga oshirilgan davlat xaridlari toʻgʻrisida 
MAʼLUMOT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</si>
</sst>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8" x14ac:knownFonts="1">
    <font>
      <sz val="11"/>
      <color theme="1"/>
      <name val="Calibri"/>
      <family val="2"/>
      <scheme val="minor"/>
    </font>
    <font>
      <sz val="14"/>
      <color theme="1"/>
      <name val="Times New Roman"/>
      <family val="1"/>
      <charset val="204"/>
    </font>
    <font>
      <b/>
      <sz val="14"/>
      <color theme="1"/>
      <name val="Times New Roman"/>
      <family val="1"/>
      <charset val="204"/>
    </font>
    <font>
      <i/>
      <sz val="14"/>
      <color theme="1"/>
      <name val="Times New Roman"/>
      <family val="1"/>
      <charset val="204"/>
    </font>
    <font>
      <b/>
      <sz val="14"/>
      <color rgb="FFFF0000"/>
      <name val="Times New Roman"/>
      <family val="1"/>
      <charset val="204"/>
    </font>
    <font>
      <sz val="10"/>
      <name val="Arial"/>
      <family val="2"/>
    </font>
    <font>
      <sz val="14"/>
      <name val="Times New Roman"/>
      <family val="1"/>
      <charset val="204"/>
    </font>
    <font>
      <sz val="11"/>
      <name val="Calibri"/>
      <family val="2"/>
      <charset val="204"/>
    </font>
  </fonts>
  <fills count="3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5" fillId="0" borderId="0"/>
    <xf numFmtId="0" fontId="7" fillId="0" borderId="0"/>
  </cellStyleXfs>
  <cellXfs count="43">
    <xf numFmtId="0" fontId="0" fillId="0" borderId="0" xfId="0"/>
    <xf numFmtId="0" fontId="1" fillId="0" borderId="1" xfId="0" applyFont="1" applyBorder="1" applyAlignment="1">
      <alignment horizontal="center" vertical="center" wrapText="1"/>
    </xf>
    <xf numFmtId="0" fontId="3" fillId="0" borderId="0" xfId="0" applyFont="1" applyAlignment="1">
      <alignment horizontal="center" vertical="center"/>
    </xf>
    <xf numFmtId="4" fontId="1" fillId="0" borderId="1" xfId="0" applyNumberFormat="1" applyFont="1" applyBorder="1" applyAlignment="1">
      <alignment horizontal="center" vertical="center" wrapText="1"/>
    </xf>
    <xf numFmtId="9" fontId="1" fillId="0" borderId="1" xfId="0" applyNumberFormat="1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/>
    </xf>
    <xf numFmtId="0" fontId="1" fillId="0" borderId="0" xfId="0" applyFont="1" applyAlignment="1">
      <alignment vertical="center"/>
    </xf>
    <xf numFmtId="0" fontId="1" fillId="0" borderId="0" xfId="0" applyFont="1" applyAlignment="1">
      <alignment horizontal="center" vertical="center"/>
    </xf>
    <xf numFmtId="4" fontId="1" fillId="0" borderId="0" xfId="0" applyNumberFormat="1" applyFont="1" applyAlignment="1">
      <alignment vertical="center"/>
    </xf>
    <xf numFmtId="1" fontId="6" fillId="0" borderId="1" xfId="0" applyNumberFormat="1" applyFont="1" applyBorder="1" applyAlignment="1">
      <alignment horizontal="center" vertical="center" wrapText="1"/>
    </xf>
    <xf numFmtId="4" fontId="6" fillId="0" borderId="1" xfId="0" applyNumberFormat="1" applyFont="1" applyBorder="1" applyAlignment="1">
      <alignment horizontal="center" vertical="center" wrapText="1"/>
    </xf>
    <xf numFmtId="4" fontId="1" fillId="0" borderId="0" xfId="0" applyNumberFormat="1" applyFont="1" applyAlignment="1">
      <alignment horizontal="right" vertical="center"/>
    </xf>
    <xf numFmtId="0" fontId="1" fillId="0" borderId="1" xfId="0" applyFont="1" applyBorder="1" applyAlignment="1">
      <alignment vertical="center"/>
    </xf>
    <xf numFmtId="0" fontId="1" fillId="0" borderId="0" xfId="0" applyFont="1" applyAlignment="1">
      <alignment horizontal="left" vertical="center"/>
    </xf>
    <xf numFmtId="1" fontId="6" fillId="0" borderId="1" xfId="0" applyNumberFormat="1" applyFont="1" applyBorder="1" applyAlignment="1">
      <alignment horizontal="left" vertical="center" wrapText="1"/>
    </xf>
    <xf numFmtId="4" fontId="2" fillId="0" borderId="1" xfId="0" applyNumberFormat="1" applyFont="1" applyFill="1" applyBorder="1" applyAlignment="1">
      <alignment horizontal="center" vertical="center" wrapText="1"/>
    </xf>
    <xf numFmtId="0" fontId="2" fillId="0" borderId="1" xfId="0" applyFont="1" applyBorder="1" applyAlignment="1">
      <alignment vertical="center"/>
    </xf>
    <xf numFmtId="0" fontId="2" fillId="0" borderId="0" xfId="0" applyFont="1" applyAlignment="1">
      <alignment vertical="center"/>
    </xf>
    <xf numFmtId="0" fontId="6" fillId="0" borderId="1" xfId="0" applyNumberFormat="1" applyFont="1" applyFill="1" applyBorder="1" applyAlignment="1" applyProtection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4" fontId="2" fillId="0" borderId="0" xfId="0" applyNumberFormat="1" applyFont="1" applyFill="1" applyAlignment="1">
      <alignment horizontal="right" vertical="center"/>
    </xf>
    <xf numFmtId="4" fontId="6" fillId="0" borderId="1" xfId="0" applyNumberFormat="1" applyFont="1" applyFill="1" applyBorder="1" applyAlignment="1">
      <alignment horizontal="right" vertical="center" wrapText="1"/>
    </xf>
    <xf numFmtId="4" fontId="1" fillId="0" borderId="1" xfId="0" applyNumberFormat="1" applyFont="1" applyFill="1" applyBorder="1" applyAlignment="1">
      <alignment horizontal="right" vertical="center" wrapText="1"/>
    </xf>
    <xf numFmtId="4" fontId="2" fillId="0" borderId="1" xfId="0" applyNumberFormat="1" applyFont="1" applyFill="1" applyBorder="1" applyAlignment="1">
      <alignment horizontal="right" vertical="center"/>
    </xf>
    <xf numFmtId="4" fontId="1" fillId="0" borderId="0" xfId="0" applyNumberFormat="1" applyFont="1" applyFill="1" applyAlignment="1">
      <alignment horizontal="right" vertical="center"/>
    </xf>
    <xf numFmtId="4" fontId="1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left" vertical="center"/>
    </xf>
    <xf numFmtId="4" fontId="1" fillId="0" borderId="1" xfId="0" applyNumberFormat="1" applyFont="1" applyBorder="1" applyAlignment="1">
      <alignment vertical="center"/>
    </xf>
    <xf numFmtId="0" fontId="2" fillId="0" borderId="0" xfId="0" applyFont="1" applyAlignment="1">
      <alignment horizontal="center" vertical="center" wrapText="1"/>
    </xf>
    <xf numFmtId="0" fontId="2" fillId="0" borderId="2" xfId="0" applyFont="1" applyBorder="1" applyAlignment="1">
      <alignment horizontal="center" vertical="center" wrapText="1"/>
    </xf>
    <xf numFmtId="0" fontId="2" fillId="0" borderId="3" xfId="0" applyFont="1" applyBorder="1" applyAlignment="1">
      <alignment horizontal="center" vertical="center" wrapText="1"/>
    </xf>
    <xf numFmtId="0" fontId="2" fillId="0" borderId="4" xfId="0" applyFont="1" applyBorder="1" applyAlignment="1">
      <alignment horizontal="center" vertical="center" wrapText="1"/>
    </xf>
    <xf numFmtId="4" fontId="2" fillId="2" borderId="1" xfId="0" applyNumberFormat="1" applyFont="1" applyFill="1" applyBorder="1" applyAlignment="1">
      <alignment horizontal="right" vertical="center"/>
    </xf>
    <xf numFmtId="0" fontId="2" fillId="2" borderId="1" xfId="0" applyFont="1" applyFill="1" applyBorder="1" applyAlignment="1">
      <alignment vertical="center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left" vertical="center"/>
    </xf>
    <xf numFmtId="0" fontId="1" fillId="2" borderId="1" xfId="0" applyFont="1" applyFill="1" applyBorder="1" applyAlignment="1">
      <alignment horizontal="center" vertical="center"/>
    </xf>
    <xf numFmtId="1" fontId="6" fillId="2" borderId="1" xfId="0" applyNumberFormat="1" applyFont="1" applyFill="1" applyBorder="1" applyAlignment="1">
      <alignment horizontal="center" vertical="center" wrapText="1"/>
    </xf>
    <xf numFmtId="4" fontId="1" fillId="2" borderId="1" xfId="0" applyNumberFormat="1" applyFont="1" applyFill="1" applyBorder="1" applyAlignment="1">
      <alignment vertical="center"/>
    </xf>
    <xf numFmtId="0" fontId="1" fillId="2" borderId="1" xfId="0" applyFont="1" applyFill="1" applyBorder="1" applyAlignment="1">
      <alignment vertical="center"/>
    </xf>
    <xf numFmtId="4" fontId="1" fillId="2" borderId="1" xfId="0" applyNumberFormat="1" applyFont="1" applyFill="1" applyBorder="1" applyAlignment="1">
      <alignment horizontal="right" vertical="center"/>
    </xf>
    <xf numFmtId="1" fontId="6" fillId="2" borderId="1" xfId="0" applyNumberFormat="1" applyFont="1" applyFill="1" applyBorder="1" applyAlignment="1">
      <alignment horizontal="left" vertical="center" wrapText="1"/>
    </xf>
  </cellXfs>
  <cellStyles count="3">
    <cellStyle name="Normal" xfId="1"/>
    <cellStyle name="Обычный" xfId="0" builtinId="0"/>
    <cellStyle name="Обычный 2" xfId="2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pageSetUpPr fitToPage="1"/>
  </sheetPr>
  <dimension ref="A1:N56"/>
  <sheetViews>
    <sheetView tabSelected="1" zoomScale="70" zoomScaleNormal="70" zoomScaleSheetLayoutView="70" workbookViewId="0">
      <pane ySplit="3" topLeftCell="A21" activePane="bottomLeft" state="frozen"/>
      <selection pane="bottomLeft" activeCell="G54" sqref="G54"/>
    </sheetView>
  </sheetViews>
  <sheetFormatPr defaultColWidth="9.140625" defaultRowHeight="18.75" x14ac:dyDescent="0.25"/>
  <cols>
    <col min="1" max="1" width="5.140625" style="7" customWidth="1"/>
    <col min="2" max="2" width="10.140625" style="7" customWidth="1"/>
    <col min="3" max="3" width="16" style="8" customWidth="1"/>
    <col min="4" max="4" width="43" style="7" customWidth="1"/>
    <col min="5" max="5" width="22.7109375" style="9" customWidth="1"/>
    <col min="6" max="6" width="20.28515625" style="7" customWidth="1"/>
    <col min="7" max="7" width="19.5703125" style="7" customWidth="1"/>
    <col min="8" max="8" width="12" style="7" customWidth="1"/>
    <col min="9" max="9" width="21.140625" style="12" customWidth="1"/>
    <col min="10" max="10" width="22.140625" style="21" customWidth="1"/>
    <col min="11" max="11" width="27.42578125" style="7" customWidth="1"/>
    <col min="12" max="12" width="24.85546875" style="7" customWidth="1"/>
    <col min="13" max="13" width="50.42578125" style="14" customWidth="1"/>
    <col min="14" max="14" width="18.5703125" style="7" customWidth="1"/>
    <col min="15" max="16384" width="9.140625" style="7"/>
  </cols>
  <sheetData>
    <row r="1" spans="1:14" x14ac:dyDescent="0.25">
      <c r="A1" s="29" t="s">
        <v>111</v>
      </c>
      <c r="B1" s="29"/>
      <c r="C1" s="29"/>
      <c r="D1" s="29"/>
      <c r="E1" s="29"/>
      <c r="F1" s="29"/>
      <c r="G1" s="29"/>
      <c r="H1" s="29"/>
      <c r="I1" s="29"/>
      <c r="J1" s="29"/>
      <c r="K1" s="29"/>
      <c r="L1" s="29"/>
      <c r="M1" s="29"/>
      <c r="N1" s="29"/>
    </row>
    <row r="2" spans="1:14" x14ac:dyDescent="0.25">
      <c r="H2" s="7" t="s">
        <v>1</v>
      </c>
      <c r="N2" s="2" t="s">
        <v>2</v>
      </c>
    </row>
    <row r="3" spans="1:14" s="8" customFormat="1" ht="123.75" customHeight="1" x14ac:dyDescent="0.25">
      <c r="A3" s="1" t="s">
        <v>0</v>
      </c>
      <c r="B3" s="1" t="s">
        <v>3</v>
      </c>
      <c r="C3" s="1" t="s">
        <v>4</v>
      </c>
      <c r="D3" s="1" t="s">
        <v>5</v>
      </c>
      <c r="E3" s="3" t="s">
        <v>6</v>
      </c>
      <c r="F3" s="1" t="s">
        <v>17</v>
      </c>
      <c r="G3" s="1" t="s">
        <v>7</v>
      </c>
      <c r="H3" s="1" t="s">
        <v>8</v>
      </c>
      <c r="I3" s="3" t="s">
        <v>9</v>
      </c>
      <c r="J3" s="16" t="s">
        <v>10</v>
      </c>
      <c r="K3" s="1" t="s">
        <v>11</v>
      </c>
      <c r="L3" s="1" t="s">
        <v>12</v>
      </c>
      <c r="M3" s="1" t="s">
        <v>13</v>
      </c>
      <c r="N3" s="1" t="s">
        <v>14</v>
      </c>
    </row>
    <row r="4" spans="1:14" x14ac:dyDescent="0.25">
      <c r="A4" s="30" t="s">
        <v>20</v>
      </c>
      <c r="B4" s="31"/>
      <c r="C4" s="31"/>
      <c r="D4" s="31"/>
      <c r="E4" s="31"/>
      <c r="F4" s="31"/>
      <c r="G4" s="31"/>
      <c r="H4" s="31"/>
      <c r="I4" s="31"/>
      <c r="J4" s="31"/>
      <c r="K4" s="31"/>
      <c r="L4" s="31"/>
      <c r="M4" s="31"/>
      <c r="N4" s="32"/>
    </row>
    <row r="5" spans="1:14" x14ac:dyDescent="0.25">
      <c r="A5" s="30" t="s">
        <v>19</v>
      </c>
      <c r="B5" s="31"/>
      <c r="C5" s="31"/>
      <c r="D5" s="31"/>
      <c r="E5" s="31"/>
      <c r="F5" s="31"/>
      <c r="G5" s="31"/>
      <c r="H5" s="31"/>
      <c r="I5" s="31"/>
      <c r="J5" s="31"/>
      <c r="K5" s="31"/>
      <c r="L5" s="31"/>
      <c r="M5" s="31"/>
      <c r="N5" s="32"/>
    </row>
    <row r="6" spans="1:14" ht="37.5" x14ac:dyDescent="0.25">
      <c r="A6" s="5">
        <v>1</v>
      </c>
      <c r="B6" s="5" t="s">
        <v>23</v>
      </c>
      <c r="C6" s="6">
        <v>4234940</v>
      </c>
      <c r="D6" s="10" t="s">
        <v>30</v>
      </c>
      <c r="E6" s="11">
        <v>20562000</v>
      </c>
      <c r="F6" s="1" t="s">
        <v>18</v>
      </c>
      <c r="G6" s="10" t="s">
        <v>25</v>
      </c>
      <c r="H6" s="10">
        <v>12</v>
      </c>
      <c r="I6" s="11">
        <f>E6/H6</f>
        <v>1713500</v>
      </c>
      <c r="J6" s="22">
        <f>H6*I6</f>
        <v>20562000</v>
      </c>
      <c r="K6" s="1" t="s">
        <v>16</v>
      </c>
      <c r="L6" s="10" t="s">
        <v>55</v>
      </c>
      <c r="M6" s="15" t="s">
        <v>53</v>
      </c>
      <c r="N6" s="4">
        <v>1</v>
      </c>
    </row>
    <row r="7" spans="1:14" ht="56.25" x14ac:dyDescent="0.25">
      <c r="A7" s="5">
        <v>2</v>
      </c>
      <c r="B7" s="5" t="s">
        <v>24</v>
      </c>
      <c r="C7" s="19" t="s">
        <v>78</v>
      </c>
      <c r="D7" s="10" t="s">
        <v>31</v>
      </c>
      <c r="E7" s="11">
        <v>7200000</v>
      </c>
      <c r="F7" s="1" t="s">
        <v>18</v>
      </c>
      <c r="G7" s="10" t="s">
        <v>25</v>
      </c>
      <c r="H7" s="10">
        <v>12</v>
      </c>
      <c r="I7" s="11">
        <f>E7/H7</f>
        <v>600000</v>
      </c>
      <c r="J7" s="22">
        <f t="shared" ref="J7:J17" si="0">H7*I7</f>
        <v>7200000</v>
      </c>
      <c r="K7" s="1" t="s">
        <v>16</v>
      </c>
      <c r="L7" s="10" t="s">
        <v>55</v>
      </c>
      <c r="M7" s="15" t="s">
        <v>52</v>
      </c>
      <c r="N7" s="4">
        <v>1</v>
      </c>
    </row>
    <row r="8" spans="1:14" ht="56.25" x14ac:dyDescent="0.25">
      <c r="A8" s="5">
        <v>3</v>
      </c>
      <c r="B8" s="5" t="s">
        <v>24</v>
      </c>
      <c r="C8" s="19" t="s">
        <v>81</v>
      </c>
      <c r="D8" s="10" t="s">
        <v>29</v>
      </c>
      <c r="E8" s="11" t="s">
        <v>34</v>
      </c>
      <c r="F8" s="1" t="s">
        <v>18</v>
      </c>
      <c r="G8" s="10" t="s">
        <v>25</v>
      </c>
      <c r="H8" s="10">
        <v>12</v>
      </c>
      <c r="I8" s="11">
        <v>56999</v>
      </c>
      <c r="J8" s="22">
        <f t="shared" si="0"/>
        <v>683988</v>
      </c>
      <c r="K8" s="1" t="s">
        <v>16</v>
      </c>
      <c r="L8" s="10" t="s">
        <v>56</v>
      </c>
      <c r="M8" s="15" t="s">
        <v>54</v>
      </c>
      <c r="N8" s="4">
        <v>1</v>
      </c>
    </row>
    <row r="9" spans="1:14" ht="56.25" x14ac:dyDescent="0.25">
      <c r="A9" s="5">
        <v>4</v>
      </c>
      <c r="B9" s="5" t="s">
        <v>24</v>
      </c>
      <c r="C9" s="19" t="s">
        <v>84</v>
      </c>
      <c r="D9" s="10" t="s">
        <v>26</v>
      </c>
      <c r="E9" s="11" t="s">
        <v>35</v>
      </c>
      <c r="F9" s="1" t="s">
        <v>18</v>
      </c>
      <c r="G9" s="10" t="s">
        <v>25</v>
      </c>
      <c r="H9" s="10">
        <v>12</v>
      </c>
      <c r="I9" s="11">
        <v>2250000</v>
      </c>
      <c r="J9" s="22">
        <f t="shared" si="0"/>
        <v>27000000</v>
      </c>
      <c r="K9" s="1" t="s">
        <v>16</v>
      </c>
      <c r="L9" s="10" t="s">
        <v>56</v>
      </c>
      <c r="M9" s="15" t="s">
        <v>51</v>
      </c>
      <c r="N9" s="4">
        <v>1</v>
      </c>
    </row>
    <row r="10" spans="1:14" ht="56.25" x14ac:dyDescent="0.25">
      <c r="A10" s="5">
        <v>5</v>
      </c>
      <c r="B10" s="5" t="s">
        <v>24</v>
      </c>
      <c r="C10" s="19" t="s">
        <v>84</v>
      </c>
      <c r="D10" s="10" t="s">
        <v>27</v>
      </c>
      <c r="E10" s="11">
        <v>1258056</v>
      </c>
      <c r="F10" s="1" t="s">
        <v>18</v>
      </c>
      <c r="G10" s="10" t="s">
        <v>25</v>
      </c>
      <c r="H10" s="10">
        <v>12</v>
      </c>
      <c r="I10" s="11">
        <f t="shared" ref="I10:I19" si="1">E10/H10</f>
        <v>104838</v>
      </c>
      <c r="J10" s="22">
        <f t="shared" si="0"/>
        <v>1258056</v>
      </c>
      <c r="K10" s="1" t="s">
        <v>16</v>
      </c>
      <c r="L10" s="10" t="s">
        <v>56</v>
      </c>
      <c r="M10" s="15" t="s">
        <v>51</v>
      </c>
      <c r="N10" s="4">
        <v>1</v>
      </c>
    </row>
    <row r="11" spans="1:14" ht="56.25" x14ac:dyDescent="0.25">
      <c r="A11" s="5">
        <v>6</v>
      </c>
      <c r="B11" s="5" t="s">
        <v>24</v>
      </c>
      <c r="C11" s="19" t="s">
        <v>84</v>
      </c>
      <c r="D11" s="10" t="s">
        <v>27</v>
      </c>
      <c r="E11" s="11">
        <v>1260000</v>
      </c>
      <c r="F11" s="1" t="s">
        <v>18</v>
      </c>
      <c r="G11" s="10" t="s">
        <v>25</v>
      </c>
      <c r="H11" s="10">
        <v>12</v>
      </c>
      <c r="I11" s="11">
        <f t="shared" si="1"/>
        <v>105000</v>
      </c>
      <c r="J11" s="22">
        <f t="shared" si="0"/>
        <v>1260000</v>
      </c>
      <c r="K11" s="1" t="s">
        <v>16</v>
      </c>
      <c r="L11" s="10" t="s">
        <v>56</v>
      </c>
      <c r="M11" s="15" t="s">
        <v>51</v>
      </c>
      <c r="N11" s="4">
        <v>1</v>
      </c>
    </row>
    <row r="12" spans="1:14" ht="56.25" x14ac:dyDescent="0.25">
      <c r="A12" s="5">
        <v>7</v>
      </c>
      <c r="B12" s="5" t="s">
        <v>24</v>
      </c>
      <c r="C12" s="19" t="s">
        <v>82</v>
      </c>
      <c r="D12" s="10" t="s">
        <v>33</v>
      </c>
      <c r="E12" s="11" t="s">
        <v>36</v>
      </c>
      <c r="F12" s="1" t="s">
        <v>18</v>
      </c>
      <c r="G12" s="10" t="s">
        <v>25</v>
      </c>
      <c r="H12" s="10">
        <v>12</v>
      </c>
      <c r="I12" s="11">
        <v>3828000</v>
      </c>
      <c r="J12" s="22">
        <f t="shared" si="0"/>
        <v>45936000</v>
      </c>
      <c r="K12" s="1" t="s">
        <v>16</v>
      </c>
      <c r="L12" s="10" t="s">
        <v>56</v>
      </c>
      <c r="M12" s="15" t="s">
        <v>51</v>
      </c>
      <c r="N12" s="4">
        <v>1</v>
      </c>
    </row>
    <row r="13" spans="1:14" ht="56.25" x14ac:dyDescent="0.25">
      <c r="A13" s="5">
        <v>8</v>
      </c>
      <c r="B13" s="5" t="s">
        <v>24</v>
      </c>
      <c r="C13" s="19" t="s">
        <v>82</v>
      </c>
      <c r="D13" s="10" t="s">
        <v>33</v>
      </c>
      <c r="E13" s="11" t="s">
        <v>37</v>
      </c>
      <c r="F13" s="1" t="s">
        <v>18</v>
      </c>
      <c r="G13" s="10" t="s">
        <v>25</v>
      </c>
      <c r="H13" s="10">
        <v>12</v>
      </c>
      <c r="I13" s="11">
        <v>638000</v>
      </c>
      <c r="J13" s="22">
        <f t="shared" si="0"/>
        <v>7656000</v>
      </c>
      <c r="K13" s="1" t="s">
        <v>16</v>
      </c>
      <c r="L13" s="10" t="s">
        <v>56</v>
      </c>
      <c r="M13" s="15" t="s">
        <v>51</v>
      </c>
      <c r="N13" s="4">
        <v>1</v>
      </c>
    </row>
    <row r="14" spans="1:14" ht="56.25" x14ac:dyDescent="0.25">
      <c r="A14" s="5">
        <v>9</v>
      </c>
      <c r="B14" s="5" t="s">
        <v>24</v>
      </c>
      <c r="C14" s="19" t="s">
        <v>83</v>
      </c>
      <c r="D14" s="10" t="s">
        <v>42</v>
      </c>
      <c r="E14" s="11">
        <v>21600000</v>
      </c>
      <c r="F14" s="1" t="s">
        <v>18</v>
      </c>
      <c r="G14" s="10" t="s">
        <v>21</v>
      </c>
      <c r="H14" s="10">
        <v>1600</v>
      </c>
      <c r="I14" s="11">
        <f t="shared" si="1"/>
        <v>13500</v>
      </c>
      <c r="J14" s="22">
        <f t="shared" si="0"/>
        <v>21600000</v>
      </c>
      <c r="K14" s="1" t="s">
        <v>16</v>
      </c>
      <c r="L14" s="10" t="s">
        <v>56</v>
      </c>
      <c r="M14" s="15" t="s">
        <v>46</v>
      </c>
      <c r="N14" s="4">
        <v>1</v>
      </c>
    </row>
    <row r="15" spans="1:14" ht="56.25" x14ac:dyDescent="0.25">
      <c r="A15" s="5">
        <v>10</v>
      </c>
      <c r="B15" s="5" t="s">
        <v>24</v>
      </c>
      <c r="C15" s="19" t="s">
        <v>82</v>
      </c>
      <c r="D15" s="10" t="s">
        <v>33</v>
      </c>
      <c r="E15" s="11">
        <v>360000</v>
      </c>
      <c r="F15" s="1" t="s">
        <v>18</v>
      </c>
      <c r="G15" s="10" t="s">
        <v>25</v>
      </c>
      <c r="H15" s="10">
        <v>12</v>
      </c>
      <c r="I15" s="11">
        <f t="shared" si="1"/>
        <v>30000</v>
      </c>
      <c r="J15" s="22">
        <f t="shared" si="0"/>
        <v>360000</v>
      </c>
      <c r="K15" s="1" t="s">
        <v>16</v>
      </c>
      <c r="L15" s="10" t="s">
        <v>56</v>
      </c>
      <c r="M15" s="15" t="s">
        <v>50</v>
      </c>
      <c r="N15" s="4">
        <v>1</v>
      </c>
    </row>
    <row r="16" spans="1:14" ht="56.25" x14ac:dyDescent="0.25">
      <c r="A16" s="5">
        <v>11</v>
      </c>
      <c r="B16" s="5" t="s">
        <v>24</v>
      </c>
      <c r="C16" s="19" t="s">
        <v>81</v>
      </c>
      <c r="D16" s="10" t="s">
        <v>28</v>
      </c>
      <c r="E16" s="11">
        <v>722805384</v>
      </c>
      <c r="F16" s="1" t="s">
        <v>18</v>
      </c>
      <c r="G16" s="10" t="s">
        <v>25</v>
      </c>
      <c r="H16" s="10">
        <v>12</v>
      </c>
      <c r="I16" s="11">
        <f t="shared" si="1"/>
        <v>60233782</v>
      </c>
      <c r="J16" s="22">
        <f t="shared" si="0"/>
        <v>722805384</v>
      </c>
      <c r="K16" s="1" t="s">
        <v>16</v>
      </c>
      <c r="L16" s="10" t="s">
        <v>56</v>
      </c>
      <c r="M16" s="15" t="s">
        <v>45</v>
      </c>
      <c r="N16" s="4">
        <v>1</v>
      </c>
    </row>
    <row r="17" spans="1:14" ht="93.75" customHeight="1" x14ac:dyDescent="0.25">
      <c r="A17" s="5">
        <v>12</v>
      </c>
      <c r="B17" s="5" t="s">
        <v>24</v>
      </c>
      <c r="C17" s="19" t="s">
        <v>78</v>
      </c>
      <c r="D17" s="10" t="s">
        <v>38</v>
      </c>
      <c r="E17" s="11">
        <v>200000000</v>
      </c>
      <c r="F17" s="1" t="s">
        <v>18</v>
      </c>
      <c r="G17" s="10" t="s">
        <v>25</v>
      </c>
      <c r="H17" s="10">
        <v>1</v>
      </c>
      <c r="I17" s="11">
        <f t="shared" si="1"/>
        <v>200000000</v>
      </c>
      <c r="J17" s="22">
        <f t="shared" si="0"/>
        <v>200000000</v>
      </c>
      <c r="K17" s="1" t="s">
        <v>16</v>
      </c>
      <c r="L17" s="10" t="s">
        <v>55</v>
      </c>
      <c r="M17" s="15" t="s">
        <v>49</v>
      </c>
      <c r="N17" s="4">
        <v>1</v>
      </c>
    </row>
    <row r="18" spans="1:14" ht="93.75" customHeight="1" x14ac:dyDescent="0.25">
      <c r="A18" s="5">
        <v>13</v>
      </c>
      <c r="B18" s="5" t="s">
        <v>15</v>
      </c>
      <c r="C18" s="19" t="s">
        <v>78</v>
      </c>
      <c r="D18" s="10" t="s">
        <v>39</v>
      </c>
      <c r="E18" s="11">
        <v>4944000</v>
      </c>
      <c r="F18" s="1" t="s">
        <v>18</v>
      </c>
      <c r="G18" s="10" t="s">
        <v>40</v>
      </c>
      <c r="H18" s="10">
        <v>1</v>
      </c>
      <c r="I18" s="11">
        <f t="shared" si="1"/>
        <v>4944000</v>
      </c>
      <c r="J18" s="22">
        <f>H18*I18</f>
        <v>4944000</v>
      </c>
      <c r="K18" s="1" t="s">
        <v>16</v>
      </c>
      <c r="L18" s="10" t="s">
        <v>55</v>
      </c>
      <c r="M18" s="15" t="s">
        <v>48</v>
      </c>
      <c r="N18" s="4">
        <v>1</v>
      </c>
    </row>
    <row r="19" spans="1:14" ht="93.75" customHeight="1" x14ac:dyDescent="0.25">
      <c r="A19" s="5">
        <v>14</v>
      </c>
      <c r="B19" s="5" t="s">
        <v>15</v>
      </c>
      <c r="C19" s="6">
        <v>4292300</v>
      </c>
      <c r="D19" s="10" t="s">
        <v>32</v>
      </c>
      <c r="E19" s="11">
        <v>263125390</v>
      </c>
      <c r="F19" s="1" t="s">
        <v>18</v>
      </c>
      <c r="G19" s="10" t="s">
        <v>40</v>
      </c>
      <c r="H19" s="10">
        <v>1</v>
      </c>
      <c r="I19" s="11">
        <f t="shared" si="1"/>
        <v>263125390</v>
      </c>
      <c r="J19" s="22">
        <f>H19*I19</f>
        <v>263125390</v>
      </c>
      <c r="K19" s="1" t="s">
        <v>16</v>
      </c>
      <c r="L19" s="10" t="s">
        <v>55</v>
      </c>
      <c r="M19" s="15" t="s">
        <v>47</v>
      </c>
      <c r="N19" s="4">
        <v>1</v>
      </c>
    </row>
    <row r="20" spans="1:14" ht="93.75" customHeight="1" x14ac:dyDescent="0.25">
      <c r="A20" s="5">
        <v>15</v>
      </c>
      <c r="B20" s="5" t="s">
        <v>15</v>
      </c>
      <c r="C20" s="6">
        <v>4292300</v>
      </c>
      <c r="D20" s="10" t="s">
        <v>32</v>
      </c>
      <c r="E20" s="11" t="s">
        <v>41</v>
      </c>
      <c r="F20" s="1" t="s">
        <v>18</v>
      </c>
      <c r="G20" s="10" t="s">
        <v>40</v>
      </c>
      <c r="H20" s="10">
        <v>1</v>
      </c>
      <c r="I20" s="11">
        <v>40921830</v>
      </c>
      <c r="J20" s="22">
        <f>H20*I20</f>
        <v>40921830</v>
      </c>
      <c r="K20" s="1" t="s">
        <v>16</v>
      </c>
      <c r="L20" s="10" t="s">
        <v>55</v>
      </c>
      <c r="M20" s="15" t="s">
        <v>47</v>
      </c>
      <c r="N20" s="4">
        <v>1</v>
      </c>
    </row>
    <row r="21" spans="1:14" ht="93.75" customHeight="1" x14ac:dyDescent="0.25">
      <c r="A21" s="5">
        <v>16</v>
      </c>
      <c r="B21" s="5" t="s">
        <v>15</v>
      </c>
      <c r="C21" s="19" t="s">
        <v>79</v>
      </c>
      <c r="D21" s="10" t="s">
        <v>22</v>
      </c>
      <c r="E21" s="11" t="s">
        <v>43</v>
      </c>
      <c r="F21" s="1" t="s">
        <v>18</v>
      </c>
      <c r="G21" s="10" t="s">
        <v>40</v>
      </c>
      <c r="H21" s="10">
        <v>1</v>
      </c>
      <c r="I21" s="11" t="s">
        <v>43</v>
      </c>
      <c r="J21" s="22">
        <v>7341000</v>
      </c>
      <c r="K21" s="1" t="s">
        <v>16</v>
      </c>
      <c r="L21" s="10" t="s">
        <v>56</v>
      </c>
      <c r="M21" s="15" t="s">
        <v>44</v>
      </c>
      <c r="N21" s="4">
        <v>1</v>
      </c>
    </row>
    <row r="22" spans="1:14" ht="37.5" x14ac:dyDescent="0.25">
      <c r="A22" s="5">
        <v>17</v>
      </c>
      <c r="B22" s="5" t="s">
        <v>15</v>
      </c>
      <c r="C22" s="19" t="s">
        <v>76</v>
      </c>
      <c r="D22" s="10" t="s">
        <v>64</v>
      </c>
      <c r="E22" s="11">
        <v>900000</v>
      </c>
      <c r="F22" s="1" t="s">
        <v>18</v>
      </c>
      <c r="G22" s="10" t="s">
        <v>72</v>
      </c>
      <c r="H22" s="10">
        <v>50</v>
      </c>
      <c r="I22" s="11">
        <v>17000</v>
      </c>
      <c r="J22" s="23">
        <f>H22*I22</f>
        <v>850000</v>
      </c>
      <c r="K22" s="1" t="s">
        <v>16</v>
      </c>
      <c r="L22" s="13" t="s">
        <v>63</v>
      </c>
      <c r="M22" s="15" t="s">
        <v>57</v>
      </c>
      <c r="N22" s="4">
        <v>1</v>
      </c>
    </row>
    <row r="23" spans="1:14" ht="75" x14ac:dyDescent="0.25">
      <c r="A23" s="5">
        <v>18</v>
      </c>
      <c r="B23" s="5" t="s">
        <v>15</v>
      </c>
      <c r="C23" s="6">
        <v>4299990</v>
      </c>
      <c r="D23" s="10" t="s">
        <v>65</v>
      </c>
      <c r="E23" s="11">
        <v>9860000</v>
      </c>
      <c r="F23" s="1" t="s">
        <v>18</v>
      </c>
      <c r="G23" s="10" t="s">
        <v>73</v>
      </c>
      <c r="H23" s="10">
        <v>17</v>
      </c>
      <c r="I23" s="11">
        <v>460000</v>
      </c>
      <c r="J23" s="23">
        <f>H23*I23</f>
        <v>7820000</v>
      </c>
      <c r="K23" s="1" t="s">
        <v>16</v>
      </c>
      <c r="L23" s="13" t="s">
        <v>63</v>
      </c>
      <c r="M23" s="15" t="s">
        <v>58</v>
      </c>
      <c r="N23" s="4">
        <v>1</v>
      </c>
    </row>
    <row r="24" spans="1:14" ht="37.5" x14ac:dyDescent="0.25">
      <c r="A24" s="5">
        <v>19</v>
      </c>
      <c r="B24" s="5" t="s">
        <v>15</v>
      </c>
      <c r="C24" s="19" t="s">
        <v>77</v>
      </c>
      <c r="D24" s="10" t="s">
        <v>66</v>
      </c>
      <c r="E24" s="11">
        <v>1750000</v>
      </c>
      <c r="F24" s="1" t="s">
        <v>18</v>
      </c>
      <c r="G24" s="10" t="s">
        <v>72</v>
      </c>
      <c r="H24" s="10">
        <v>50</v>
      </c>
      <c r="I24" s="11">
        <v>23888</v>
      </c>
      <c r="J24" s="23">
        <f t="shared" ref="J24:J29" si="2">H24*I24</f>
        <v>1194400</v>
      </c>
      <c r="K24" s="1" t="s">
        <v>16</v>
      </c>
      <c r="L24" s="13" t="s">
        <v>63</v>
      </c>
      <c r="M24" s="15" t="s">
        <v>59</v>
      </c>
      <c r="N24" s="4">
        <v>1</v>
      </c>
    </row>
    <row r="25" spans="1:14" ht="37.5" x14ac:dyDescent="0.25">
      <c r="A25" s="5">
        <v>20</v>
      </c>
      <c r="B25" s="5" t="s">
        <v>15</v>
      </c>
      <c r="C25" s="19" t="s">
        <v>77</v>
      </c>
      <c r="D25" s="10" t="s">
        <v>67</v>
      </c>
      <c r="E25" s="11">
        <v>1250000</v>
      </c>
      <c r="F25" s="1" t="s">
        <v>18</v>
      </c>
      <c r="G25" s="10" t="s">
        <v>72</v>
      </c>
      <c r="H25" s="10">
        <v>50</v>
      </c>
      <c r="I25" s="11">
        <v>1616.16</v>
      </c>
      <c r="J25" s="23">
        <f t="shared" si="2"/>
        <v>80808</v>
      </c>
      <c r="K25" s="1" t="s">
        <v>16</v>
      </c>
      <c r="L25" s="13" t="s">
        <v>63</v>
      </c>
      <c r="M25" s="15" t="s">
        <v>60</v>
      </c>
      <c r="N25" s="4">
        <v>1</v>
      </c>
    </row>
    <row r="26" spans="1:14" ht="37.5" x14ac:dyDescent="0.25">
      <c r="A26" s="5">
        <v>21</v>
      </c>
      <c r="B26" s="5" t="s">
        <v>15</v>
      </c>
      <c r="C26" s="19" t="s">
        <v>77</v>
      </c>
      <c r="D26" s="10" t="s">
        <v>68</v>
      </c>
      <c r="E26" s="11">
        <v>2000000</v>
      </c>
      <c r="F26" s="1" t="s">
        <v>18</v>
      </c>
      <c r="G26" s="10" t="s">
        <v>74</v>
      </c>
      <c r="H26" s="10">
        <v>40</v>
      </c>
      <c r="I26" s="11">
        <v>30875.38</v>
      </c>
      <c r="J26" s="23">
        <f t="shared" si="2"/>
        <v>1235015.2</v>
      </c>
      <c r="K26" s="1" t="s">
        <v>16</v>
      </c>
      <c r="L26" s="13" t="s">
        <v>63</v>
      </c>
      <c r="M26" s="15" t="s">
        <v>61</v>
      </c>
      <c r="N26" s="4">
        <v>1</v>
      </c>
    </row>
    <row r="27" spans="1:14" ht="37.5" x14ac:dyDescent="0.25">
      <c r="A27" s="5">
        <v>22</v>
      </c>
      <c r="B27" s="5" t="s">
        <v>15</v>
      </c>
      <c r="C27" s="19" t="s">
        <v>77</v>
      </c>
      <c r="D27" s="10" t="s">
        <v>69</v>
      </c>
      <c r="E27" s="11">
        <v>90000</v>
      </c>
      <c r="F27" s="1" t="s">
        <v>18</v>
      </c>
      <c r="G27" s="10" t="s">
        <v>74</v>
      </c>
      <c r="H27" s="10">
        <v>30</v>
      </c>
      <c r="I27" s="11">
        <v>2000</v>
      </c>
      <c r="J27" s="23">
        <f t="shared" si="2"/>
        <v>60000</v>
      </c>
      <c r="K27" s="1" t="s">
        <v>16</v>
      </c>
      <c r="L27" s="13" t="s">
        <v>63</v>
      </c>
      <c r="M27" s="15" t="s">
        <v>61</v>
      </c>
      <c r="N27" s="4">
        <v>1</v>
      </c>
    </row>
    <row r="28" spans="1:14" ht="37.5" x14ac:dyDescent="0.25">
      <c r="A28" s="5">
        <v>23</v>
      </c>
      <c r="B28" s="5" t="s">
        <v>15</v>
      </c>
      <c r="C28" s="19" t="s">
        <v>80</v>
      </c>
      <c r="D28" s="10" t="s">
        <v>70</v>
      </c>
      <c r="E28" s="11">
        <v>2500000</v>
      </c>
      <c r="F28" s="1" t="s">
        <v>18</v>
      </c>
      <c r="G28" s="10" t="s">
        <v>75</v>
      </c>
      <c r="H28" s="10">
        <v>50</v>
      </c>
      <c r="I28" s="11">
        <v>34000</v>
      </c>
      <c r="J28" s="23">
        <f t="shared" si="2"/>
        <v>1700000</v>
      </c>
      <c r="K28" s="1" t="s">
        <v>16</v>
      </c>
      <c r="L28" s="13" t="s">
        <v>63</v>
      </c>
      <c r="M28" s="15" t="s">
        <v>62</v>
      </c>
      <c r="N28" s="4">
        <v>1</v>
      </c>
    </row>
    <row r="29" spans="1:14" ht="37.5" x14ac:dyDescent="0.25">
      <c r="A29" s="5">
        <v>24</v>
      </c>
      <c r="B29" s="5" t="s">
        <v>15</v>
      </c>
      <c r="C29" s="6" t="s">
        <v>77</v>
      </c>
      <c r="D29" s="10" t="s">
        <v>71</v>
      </c>
      <c r="E29" s="11">
        <v>600000</v>
      </c>
      <c r="F29" s="1" t="s">
        <v>18</v>
      </c>
      <c r="G29" s="10" t="s">
        <v>72</v>
      </c>
      <c r="H29" s="10">
        <v>20</v>
      </c>
      <c r="I29" s="11">
        <v>7893.92</v>
      </c>
      <c r="J29" s="23">
        <f t="shared" si="2"/>
        <v>157878.39999999999</v>
      </c>
      <c r="K29" s="1" t="s">
        <v>16</v>
      </c>
      <c r="L29" s="13" t="s">
        <v>63</v>
      </c>
      <c r="M29" s="15" t="s">
        <v>61</v>
      </c>
      <c r="N29" s="4">
        <v>1</v>
      </c>
    </row>
    <row r="30" spans="1:14" s="18" customFormat="1" x14ac:dyDescent="0.25">
      <c r="A30" s="34"/>
      <c r="B30" s="34"/>
      <c r="C30" s="35"/>
      <c r="D30" s="34" t="s">
        <v>85</v>
      </c>
      <c r="E30" s="34"/>
      <c r="F30" s="34"/>
      <c r="G30" s="34"/>
      <c r="H30" s="34"/>
      <c r="I30" s="34"/>
      <c r="J30" s="33">
        <f>SUM(J6:J29)</f>
        <v>1385751749.6000001</v>
      </c>
      <c r="K30" s="34"/>
      <c r="L30" s="34"/>
      <c r="M30" s="36"/>
      <c r="N30" s="34"/>
    </row>
    <row r="31" spans="1:14" x14ac:dyDescent="0.25">
      <c r="E31" s="7"/>
      <c r="I31" s="7"/>
      <c r="J31" s="25"/>
    </row>
    <row r="32" spans="1:14" ht="37.5" x14ac:dyDescent="0.25">
      <c r="A32" s="20">
        <v>1</v>
      </c>
      <c r="B32" s="5" t="s">
        <v>86</v>
      </c>
      <c r="C32" s="6">
        <v>4234100</v>
      </c>
      <c r="D32" s="10" t="s">
        <v>22</v>
      </c>
      <c r="E32" s="11">
        <v>18974000</v>
      </c>
      <c r="F32" s="1" t="s">
        <v>18</v>
      </c>
      <c r="G32" s="10" t="s">
        <v>25</v>
      </c>
      <c r="H32" s="6">
        <v>1</v>
      </c>
      <c r="I32" s="26">
        <v>11900000</v>
      </c>
      <c r="J32" s="24">
        <v>11900000</v>
      </c>
      <c r="K32" s="1" t="s">
        <v>16</v>
      </c>
      <c r="L32" s="13" t="s">
        <v>87</v>
      </c>
      <c r="M32" s="27" t="s">
        <v>88</v>
      </c>
      <c r="N32" s="4">
        <v>1</v>
      </c>
    </row>
    <row r="33" spans="1:14" ht="37.5" x14ac:dyDescent="0.25">
      <c r="A33" s="20">
        <v>2</v>
      </c>
      <c r="B33" s="5" t="s">
        <v>86</v>
      </c>
      <c r="C33" s="6">
        <v>4252500</v>
      </c>
      <c r="D33" s="10" t="s">
        <v>42</v>
      </c>
      <c r="E33" s="11">
        <v>22800000</v>
      </c>
      <c r="F33" s="1" t="s">
        <v>18</v>
      </c>
      <c r="G33" s="10" t="s">
        <v>21</v>
      </c>
      <c r="H33" s="6">
        <v>2000</v>
      </c>
      <c r="I33" s="26">
        <v>11400</v>
      </c>
      <c r="J33" s="24">
        <v>22800000</v>
      </c>
      <c r="K33" s="1" t="s">
        <v>16</v>
      </c>
      <c r="L33" s="13" t="s">
        <v>87</v>
      </c>
      <c r="M33" s="27" t="s">
        <v>89</v>
      </c>
      <c r="N33" s="4">
        <v>1</v>
      </c>
    </row>
    <row r="34" spans="1:14" ht="37.5" x14ac:dyDescent="0.25">
      <c r="A34" s="20">
        <v>3</v>
      </c>
      <c r="B34" s="5" t="s">
        <v>90</v>
      </c>
      <c r="C34" s="6">
        <v>4234100</v>
      </c>
      <c r="D34" s="10" t="s">
        <v>22</v>
      </c>
      <c r="E34" s="11">
        <v>5207000</v>
      </c>
      <c r="F34" s="1" t="s">
        <v>18</v>
      </c>
      <c r="G34" s="10" t="s">
        <v>25</v>
      </c>
      <c r="H34" s="6">
        <v>1</v>
      </c>
      <c r="I34" s="26">
        <v>5207000</v>
      </c>
      <c r="J34" s="24">
        <v>5207000</v>
      </c>
      <c r="K34" s="1" t="s">
        <v>16</v>
      </c>
      <c r="L34" s="13" t="s">
        <v>87</v>
      </c>
      <c r="M34" s="27" t="s">
        <v>91</v>
      </c>
      <c r="N34" s="4">
        <v>1</v>
      </c>
    </row>
    <row r="35" spans="1:14" ht="56.25" x14ac:dyDescent="0.25">
      <c r="A35" s="20">
        <v>4</v>
      </c>
      <c r="B35" s="5" t="s">
        <v>92</v>
      </c>
      <c r="C35" s="6">
        <v>4299990</v>
      </c>
      <c r="D35" s="10" t="s">
        <v>28</v>
      </c>
      <c r="E35" s="11">
        <v>196412555.19999999</v>
      </c>
      <c r="F35" s="1" t="s">
        <v>18</v>
      </c>
      <c r="G35" s="10" t="s">
        <v>25</v>
      </c>
      <c r="H35" s="6">
        <v>8</v>
      </c>
      <c r="I35" s="26">
        <v>24551569.399999999</v>
      </c>
      <c r="J35" s="24">
        <v>196412555.19999999</v>
      </c>
      <c r="K35" s="1" t="s">
        <v>16</v>
      </c>
      <c r="L35" s="13" t="s">
        <v>87</v>
      </c>
      <c r="M35" s="15" t="s">
        <v>93</v>
      </c>
      <c r="N35" s="4">
        <v>1</v>
      </c>
    </row>
    <row r="36" spans="1:14" ht="37.5" x14ac:dyDescent="0.25">
      <c r="A36" s="20">
        <v>5</v>
      </c>
      <c r="B36" s="5" t="s">
        <v>86</v>
      </c>
      <c r="C36" s="6">
        <v>4252110</v>
      </c>
      <c r="D36" s="10" t="s">
        <v>94</v>
      </c>
      <c r="E36" s="11">
        <v>1230000</v>
      </c>
      <c r="F36" s="1" t="s">
        <v>18</v>
      </c>
      <c r="G36" s="10" t="s">
        <v>72</v>
      </c>
      <c r="H36" s="6">
        <v>10</v>
      </c>
      <c r="I36" s="26">
        <f>J36/H36</f>
        <v>66680</v>
      </c>
      <c r="J36" s="24">
        <v>666800</v>
      </c>
      <c r="K36" s="1" t="s">
        <v>16</v>
      </c>
      <c r="L36" s="13" t="s">
        <v>63</v>
      </c>
      <c r="M36" s="15" t="s">
        <v>95</v>
      </c>
      <c r="N36" s="4">
        <v>1</v>
      </c>
    </row>
    <row r="37" spans="1:14" ht="56.25" x14ac:dyDescent="0.25">
      <c r="A37" s="20">
        <v>6</v>
      </c>
      <c r="B37" s="5" t="s">
        <v>86</v>
      </c>
      <c r="C37" s="6">
        <v>4299990</v>
      </c>
      <c r="D37" s="10" t="s">
        <v>96</v>
      </c>
      <c r="E37" s="11">
        <v>6000000</v>
      </c>
      <c r="F37" s="1" t="s">
        <v>18</v>
      </c>
      <c r="G37" s="10" t="s">
        <v>25</v>
      </c>
      <c r="H37" s="6">
        <v>1</v>
      </c>
      <c r="I37" s="26">
        <f t="shared" ref="I37:I47" si="3">J37/H37</f>
        <v>4500000</v>
      </c>
      <c r="J37" s="24">
        <v>4500000</v>
      </c>
      <c r="K37" s="1" t="s">
        <v>16</v>
      </c>
      <c r="L37" s="13" t="s">
        <v>63</v>
      </c>
      <c r="M37" s="15" t="s">
        <v>97</v>
      </c>
      <c r="N37" s="4">
        <v>1</v>
      </c>
    </row>
    <row r="38" spans="1:14" ht="75" x14ac:dyDescent="0.25">
      <c r="A38" s="20">
        <v>7</v>
      </c>
      <c r="B38" s="5" t="s">
        <v>86</v>
      </c>
      <c r="C38" s="6">
        <v>4821190</v>
      </c>
      <c r="D38" s="10" t="s">
        <v>98</v>
      </c>
      <c r="E38" s="11">
        <v>1152000</v>
      </c>
      <c r="F38" s="1" t="s">
        <v>18</v>
      </c>
      <c r="G38" s="10" t="s">
        <v>72</v>
      </c>
      <c r="H38" s="6">
        <v>3</v>
      </c>
      <c r="I38" s="26">
        <f t="shared" si="3"/>
        <v>289000</v>
      </c>
      <c r="J38" s="24">
        <v>867000</v>
      </c>
      <c r="K38" s="1" t="s">
        <v>16</v>
      </c>
      <c r="L38" s="13" t="s">
        <v>63</v>
      </c>
      <c r="M38" s="15" t="s">
        <v>99</v>
      </c>
      <c r="N38" s="4">
        <v>1</v>
      </c>
    </row>
    <row r="39" spans="1:14" ht="37.5" x14ac:dyDescent="0.25">
      <c r="A39" s="20">
        <v>8</v>
      </c>
      <c r="B39" s="5" t="s">
        <v>86</v>
      </c>
      <c r="C39" s="6">
        <v>4252110</v>
      </c>
      <c r="D39" s="10" t="s">
        <v>100</v>
      </c>
      <c r="E39" s="11">
        <v>4000000</v>
      </c>
      <c r="F39" s="1" t="s">
        <v>18</v>
      </c>
      <c r="G39" s="10" t="s">
        <v>72</v>
      </c>
      <c r="H39" s="6">
        <v>8</v>
      </c>
      <c r="I39" s="26">
        <f t="shared" si="3"/>
        <v>420000</v>
      </c>
      <c r="J39" s="24">
        <v>3360000</v>
      </c>
      <c r="K39" s="1" t="s">
        <v>16</v>
      </c>
      <c r="L39" s="13" t="s">
        <v>63</v>
      </c>
      <c r="M39" s="15" t="s">
        <v>101</v>
      </c>
      <c r="N39" s="4">
        <v>1</v>
      </c>
    </row>
    <row r="40" spans="1:14" ht="56.25" x14ac:dyDescent="0.25">
      <c r="A40" s="20">
        <v>9</v>
      </c>
      <c r="B40" s="5" t="s">
        <v>90</v>
      </c>
      <c r="C40" s="6">
        <v>4291000</v>
      </c>
      <c r="D40" s="10" t="s">
        <v>102</v>
      </c>
      <c r="E40" s="11">
        <v>19800000</v>
      </c>
      <c r="F40" s="1" t="s">
        <v>18</v>
      </c>
      <c r="G40" s="10" t="s">
        <v>103</v>
      </c>
      <c r="H40" s="6">
        <v>9</v>
      </c>
      <c r="I40" s="26">
        <f t="shared" si="3"/>
        <v>2200000</v>
      </c>
      <c r="J40" s="24">
        <v>19800000</v>
      </c>
      <c r="K40" s="1" t="s">
        <v>16</v>
      </c>
      <c r="L40" s="13" t="s">
        <v>63</v>
      </c>
      <c r="M40" s="15" t="s">
        <v>104</v>
      </c>
      <c r="N40" s="4">
        <v>1</v>
      </c>
    </row>
    <row r="41" spans="1:14" ht="56.25" x14ac:dyDescent="0.25">
      <c r="A41" s="20">
        <v>10</v>
      </c>
      <c r="B41" s="5" t="s">
        <v>90</v>
      </c>
      <c r="C41" s="6">
        <v>4291000</v>
      </c>
      <c r="D41" s="10" t="s">
        <v>102</v>
      </c>
      <c r="E41" s="11">
        <v>17600000</v>
      </c>
      <c r="F41" s="1" t="s">
        <v>18</v>
      </c>
      <c r="G41" s="10" t="s">
        <v>103</v>
      </c>
      <c r="H41" s="6">
        <v>8</v>
      </c>
      <c r="I41" s="26">
        <f t="shared" si="3"/>
        <v>2200000</v>
      </c>
      <c r="J41" s="24">
        <v>17600000</v>
      </c>
      <c r="K41" s="1" t="s">
        <v>16</v>
      </c>
      <c r="L41" s="13" t="s">
        <v>63</v>
      </c>
      <c r="M41" s="15" t="s">
        <v>104</v>
      </c>
      <c r="N41" s="4">
        <v>1</v>
      </c>
    </row>
    <row r="42" spans="1:14" ht="56.25" x14ac:dyDescent="0.25">
      <c r="A42" s="20">
        <v>11</v>
      </c>
      <c r="B42" s="5" t="s">
        <v>90</v>
      </c>
      <c r="C42" s="6">
        <v>4291000</v>
      </c>
      <c r="D42" s="10" t="s">
        <v>102</v>
      </c>
      <c r="E42" s="11">
        <v>17600000</v>
      </c>
      <c r="F42" s="1" t="s">
        <v>18</v>
      </c>
      <c r="G42" s="10" t="s">
        <v>103</v>
      </c>
      <c r="H42" s="6">
        <v>8</v>
      </c>
      <c r="I42" s="26">
        <f t="shared" si="3"/>
        <v>2200000</v>
      </c>
      <c r="J42" s="24">
        <v>17600000</v>
      </c>
      <c r="K42" s="1" t="s">
        <v>16</v>
      </c>
      <c r="L42" s="13" t="s">
        <v>63</v>
      </c>
      <c r="M42" s="15" t="s">
        <v>104</v>
      </c>
      <c r="N42" s="4">
        <v>1</v>
      </c>
    </row>
    <row r="43" spans="1:14" ht="56.25" x14ac:dyDescent="0.25">
      <c r="A43" s="20">
        <v>12</v>
      </c>
      <c r="B43" s="5" t="s">
        <v>90</v>
      </c>
      <c r="C43" s="6">
        <v>4291000</v>
      </c>
      <c r="D43" s="10" t="s">
        <v>102</v>
      </c>
      <c r="E43" s="11">
        <v>17600000</v>
      </c>
      <c r="F43" s="1" t="s">
        <v>18</v>
      </c>
      <c r="G43" s="10" t="s">
        <v>103</v>
      </c>
      <c r="H43" s="6">
        <v>8</v>
      </c>
      <c r="I43" s="26">
        <f t="shared" si="3"/>
        <v>2200000</v>
      </c>
      <c r="J43" s="24">
        <v>17600000</v>
      </c>
      <c r="K43" s="1" t="s">
        <v>16</v>
      </c>
      <c r="L43" s="13" t="s">
        <v>63</v>
      </c>
      <c r="M43" s="15" t="s">
        <v>104</v>
      </c>
      <c r="N43" s="4">
        <v>1</v>
      </c>
    </row>
    <row r="44" spans="1:14" ht="37.5" x14ac:dyDescent="0.25">
      <c r="A44" s="20">
        <v>13</v>
      </c>
      <c r="B44" s="5" t="s">
        <v>92</v>
      </c>
      <c r="C44" s="6">
        <v>4252120</v>
      </c>
      <c r="D44" s="10" t="s">
        <v>70</v>
      </c>
      <c r="E44" s="11">
        <v>2200000</v>
      </c>
      <c r="F44" s="1" t="s">
        <v>18</v>
      </c>
      <c r="G44" s="10" t="s">
        <v>75</v>
      </c>
      <c r="H44" s="6">
        <v>40</v>
      </c>
      <c r="I44" s="26">
        <f t="shared" si="3"/>
        <v>39870</v>
      </c>
      <c r="J44" s="24">
        <v>1594800</v>
      </c>
      <c r="K44" s="1" t="s">
        <v>16</v>
      </c>
      <c r="L44" s="13" t="s">
        <v>63</v>
      </c>
      <c r="M44" s="15" t="s">
        <v>61</v>
      </c>
      <c r="N44" s="4">
        <v>1</v>
      </c>
    </row>
    <row r="45" spans="1:14" ht="56.25" x14ac:dyDescent="0.25">
      <c r="A45" s="20">
        <v>14</v>
      </c>
      <c r="B45" s="5" t="s">
        <v>92</v>
      </c>
      <c r="C45" s="6">
        <v>4291000</v>
      </c>
      <c r="D45" s="10" t="s">
        <v>105</v>
      </c>
      <c r="E45" s="11">
        <v>8709831</v>
      </c>
      <c r="F45" s="1" t="s">
        <v>18</v>
      </c>
      <c r="G45" s="10" t="s">
        <v>103</v>
      </c>
      <c r="H45" s="6">
        <v>151</v>
      </c>
      <c r="I45" s="26">
        <f t="shared" si="3"/>
        <v>57680</v>
      </c>
      <c r="J45" s="24">
        <v>8709680</v>
      </c>
      <c r="K45" s="1" t="s">
        <v>16</v>
      </c>
      <c r="L45" s="13" t="s">
        <v>63</v>
      </c>
      <c r="M45" s="15" t="s">
        <v>106</v>
      </c>
      <c r="N45" s="4">
        <v>1</v>
      </c>
    </row>
    <row r="46" spans="1:14" ht="56.25" x14ac:dyDescent="0.25">
      <c r="A46" s="20">
        <v>15</v>
      </c>
      <c r="B46" s="5" t="s">
        <v>92</v>
      </c>
      <c r="C46" s="6">
        <v>4291000</v>
      </c>
      <c r="D46" s="10" t="s">
        <v>105</v>
      </c>
      <c r="E46" s="11">
        <v>86521</v>
      </c>
      <c r="F46" s="1" t="s">
        <v>18</v>
      </c>
      <c r="G46" s="10" t="s">
        <v>103</v>
      </c>
      <c r="H46" s="6">
        <v>1</v>
      </c>
      <c r="I46" s="26">
        <f t="shared" si="3"/>
        <v>86520</v>
      </c>
      <c r="J46" s="24">
        <v>86520</v>
      </c>
      <c r="K46" s="1" t="s">
        <v>16</v>
      </c>
      <c r="L46" s="13" t="s">
        <v>63</v>
      </c>
      <c r="M46" s="15" t="s">
        <v>106</v>
      </c>
      <c r="N46" s="4">
        <v>1</v>
      </c>
    </row>
    <row r="47" spans="1:14" ht="75" x14ac:dyDescent="0.25">
      <c r="A47" s="20">
        <v>16</v>
      </c>
      <c r="B47" s="5" t="s">
        <v>92</v>
      </c>
      <c r="C47" s="6">
        <v>4291000</v>
      </c>
      <c r="D47" s="10" t="s">
        <v>102</v>
      </c>
      <c r="E47" s="11">
        <v>494400</v>
      </c>
      <c r="F47" s="1" t="s">
        <v>18</v>
      </c>
      <c r="G47" s="10" t="s">
        <v>25</v>
      </c>
      <c r="H47" s="6">
        <v>1</v>
      </c>
      <c r="I47" s="26">
        <f t="shared" si="3"/>
        <v>494400</v>
      </c>
      <c r="J47" s="24">
        <v>494400</v>
      </c>
      <c r="K47" s="1" t="s">
        <v>16</v>
      </c>
      <c r="L47" s="13" t="s">
        <v>63</v>
      </c>
      <c r="M47" s="15" t="s">
        <v>107</v>
      </c>
      <c r="N47" s="4">
        <v>1</v>
      </c>
    </row>
    <row r="48" spans="1:14" ht="75" x14ac:dyDescent="0.25">
      <c r="A48" s="20">
        <v>17</v>
      </c>
      <c r="B48" s="5" t="s">
        <v>92</v>
      </c>
      <c r="C48" s="6">
        <v>4292200</v>
      </c>
      <c r="D48" s="10" t="s">
        <v>108</v>
      </c>
      <c r="E48" s="11">
        <v>22952000</v>
      </c>
      <c r="F48" s="1" t="s">
        <v>18</v>
      </c>
      <c r="G48" s="10" t="s">
        <v>25</v>
      </c>
      <c r="H48" s="6">
        <v>7</v>
      </c>
      <c r="I48" s="26">
        <v>2836000</v>
      </c>
      <c r="J48" s="24">
        <v>22952000</v>
      </c>
      <c r="K48" s="1" t="s">
        <v>16</v>
      </c>
      <c r="L48" s="10" t="s">
        <v>56</v>
      </c>
      <c r="M48" s="15" t="s">
        <v>109</v>
      </c>
      <c r="N48" s="4">
        <v>1</v>
      </c>
    </row>
    <row r="49" spans="1:14" x14ac:dyDescent="0.25">
      <c r="A49" s="20">
        <v>18</v>
      </c>
      <c r="B49" s="34"/>
      <c r="C49" s="37"/>
      <c r="D49" s="38" t="s">
        <v>110</v>
      </c>
      <c r="E49" s="39"/>
      <c r="F49" s="40"/>
      <c r="G49" s="40"/>
      <c r="H49" s="40"/>
      <c r="I49" s="41"/>
      <c r="J49" s="33">
        <f>SUM(J32:J48)</f>
        <v>352150755.19999999</v>
      </c>
      <c r="K49" s="40"/>
      <c r="L49" s="40"/>
      <c r="M49" s="42"/>
      <c r="N49" s="40"/>
    </row>
    <row r="50" spans="1:14" x14ac:dyDescent="0.25">
      <c r="A50" s="20">
        <v>19</v>
      </c>
      <c r="B50" s="17"/>
      <c r="C50" s="6"/>
      <c r="D50" s="13"/>
      <c r="E50" s="28"/>
      <c r="F50" s="13"/>
      <c r="G50" s="13"/>
      <c r="H50" s="13"/>
      <c r="I50" s="26"/>
      <c r="J50" s="24"/>
      <c r="K50" s="13"/>
      <c r="L50" s="13"/>
      <c r="M50" s="27"/>
      <c r="N50" s="13"/>
    </row>
    <row r="51" spans="1:14" x14ac:dyDescent="0.25">
      <c r="A51" s="20">
        <v>20</v>
      </c>
      <c r="B51" s="17"/>
      <c r="C51" s="6"/>
      <c r="D51" s="13"/>
      <c r="E51" s="28"/>
      <c r="F51" s="13"/>
      <c r="G51" s="13"/>
      <c r="H51" s="13"/>
      <c r="I51" s="26"/>
      <c r="J51" s="24"/>
      <c r="K51" s="13"/>
      <c r="L51" s="13"/>
      <c r="M51" s="27"/>
      <c r="N51" s="13"/>
    </row>
    <row r="52" spans="1:14" x14ac:dyDescent="0.25">
      <c r="A52" s="20">
        <v>21</v>
      </c>
      <c r="B52" s="17"/>
      <c r="C52" s="6"/>
      <c r="D52" s="13"/>
      <c r="E52" s="28"/>
      <c r="F52" s="13"/>
      <c r="G52" s="13"/>
      <c r="H52" s="13"/>
      <c r="I52" s="26"/>
      <c r="J52" s="24"/>
      <c r="K52" s="13"/>
      <c r="L52" s="13"/>
      <c r="M52" s="27"/>
      <c r="N52" s="13"/>
    </row>
    <row r="53" spans="1:14" x14ac:dyDescent="0.25">
      <c r="A53" s="20">
        <v>22</v>
      </c>
      <c r="B53" s="17"/>
      <c r="C53" s="6"/>
      <c r="D53" s="13"/>
      <c r="E53" s="28"/>
      <c r="F53" s="13"/>
      <c r="G53" s="13"/>
      <c r="H53" s="13"/>
      <c r="I53" s="26"/>
      <c r="J53" s="24"/>
      <c r="K53" s="13"/>
      <c r="L53" s="13"/>
      <c r="M53" s="27"/>
      <c r="N53" s="13"/>
    </row>
    <row r="54" spans="1:14" x14ac:dyDescent="0.25">
      <c r="A54" s="17"/>
      <c r="B54" s="17"/>
      <c r="C54" s="6"/>
      <c r="D54" s="13"/>
      <c r="E54" s="28"/>
      <c r="F54" s="13"/>
      <c r="G54" s="13"/>
      <c r="H54" s="13"/>
      <c r="I54" s="26"/>
      <c r="J54" s="24"/>
      <c r="K54" s="13"/>
      <c r="L54" s="13"/>
      <c r="M54" s="27"/>
      <c r="N54" s="13"/>
    </row>
    <row r="55" spans="1:14" x14ac:dyDescent="0.25">
      <c r="A55" s="17"/>
      <c r="B55" s="17"/>
      <c r="C55" s="6"/>
      <c r="D55" s="13"/>
      <c r="E55" s="28"/>
      <c r="F55" s="13"/>
      <c r="G55" s="13"/>
      <c r="H55" s="13"/>
      <c r="I55" s="26"/>
      <c r="J55" s="24"/>
      <c r="K55" s="13"/>
      <c r="L55" s="13"/>
      <c r="M55" s="27"/>
      <c r="N55" s="13"/>
    </row>
    <row r="56" spans="1:14" x14ac:dyDescent="0.25">
      <c r="A56" s="17"/>
      <c r="B56" s="13"/>
      <c r="C56" s="6"/>
      <c r="D56" s="13"/>
      <c r="E56" s="28"/>
      <c r="F56" s="13"/>
      <c r="G56" s="13"/>
      <c r="H56" s="13"/>
      <c r="I56" s="26"/>
      <c r="J56" s="24"/>
      <c r="K56" s="13"/>
      <c r="L56" s="13"/>
      <c r="M56" s="27"/>
      <c r="N56" s="13"/>
    </row>
  </sheetData>
  <autoFilter ref="A3:N32"/>
  <mergeCells count="3">
    <mergeCell ref="A1:N1"/>
    <mergeCell ref="A4:N4"/>
    <mergeCell ref="A5:N5"/>
  </mergeCells>
  <pageMargins left="0.70866141732283472" right="0.70866141732283472" top="0.74803149606299213" bottom="0.74803149606299213" header="0.31496062992125984" footer="0.31496062992125984"/>
  <pageSetup paperSize="9" scale="16"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1</vt:i4>
      </vt:variant>
    </vt:vector>
  </HeadingPairs>
  <TitlesOfParts>
    <vt:vector size="2" baseType="lpstr">
      <vt:lpstr>Шартномалар</vt:lpstr>
      <vt:lpstr>Шартномалар!Область_печати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2006-09-16T00:00:00Z</dcterms:created>
  <dcterms:modified xsi:type="dcterms:W3CDTF">2026-08-26T04:22:07Z</dcterms:modified>
</cp:coreProperties>
</file>