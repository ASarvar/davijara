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1 чорак  орен бюджет   1\"/>
    </mc:Choice>
  </mc:AlternateContent>
  <bookViews>
    <workbookView xWindow="0" yWindow="0" windowWidth="28800" windowHeight="12000" tabRatio="701"/>
  </bookViews>
  <sheets>
    <sheet name="Остаток и поступления" sheetId="6" r:id="rId1"/>
    <sheet name="Кассовые расходы" sheetId="7" r:id="rId2"/>
    <sheet name="Фактические расходы" sheetId="10" r:id="rId3"/>
  </sheets>
  <definedNames>
    <definedName name="FinancingLevel">'Остаток и поступления'!$E$11</definedName>
    <definedName name="ImportRowAct">'Фактические расходы'!$A$4:$E$4</definedName>
    <definedName name="ImportRowActTotal">'Фактические расходы'!#REF!</definedName>
    <definedName name="ImportRowCash">'Кассовые расходы'!$A$5:$E$5</definedName>
    <definedName name="ImportRowCashTotal">'Кассовые расходы'!#REF!</definedName>
    <definedName name="ImportRowRest">'Остаток и поступления'!#REF!</definedName>
    <definedName name="OnDate">'Остаток и поступления'!$E$7</definedName>
    <definedName name="Organization">'Остаток и поступления'!$E$9</definedName>
    <definedName name="Period">'Остаток и поступления'!$E$10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6" i="7" l="1"/>
  <c r="F46" i="7"/>
  <c r="E46" i="7"/>
</calcChain>
</file>

<file path=xl/sharedStrings.xml><?xml version="1.0" encoding="utf-8"?>
<sst xmlns="http://schemas.openxmlformats.org/spreadsheetml/2006/main" count="389" uniqueCount="107">
  <si>
    <t xml:space="preserve">Приложение 7
к Правилам составления, утверждения и представления периодических финансовых отчетов организациями, финансируемыми из Государственного бюджета
Республики Узбекистан
</t>
  </si>
  <si>
    <t>ОТЧЕТ</t>
  </si>
  <si>
    <t>о движении прочих внебюджетных средств</t>
  </si>
  <si>
    <t>по состоянию на 01.04.2024</t>
  </si>
  <si>
    <t>Организация 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</si>
  <si>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</si>
  <si>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</si>
  <si>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апреля</t>
  </si>
  <si>
    <t>Уровень бюджета</t>
  </si>
  <si>
    <t>Единица измерения тыс. сум</t>
  </si>
  <si>
    <t>Наименования поступлений</t>
  </si>
  <si>
    <t>1. Остаток средств на начало года</t>
  </si>
  <si>
    <t>2. Поступления доходов (поступлений) в отчетный период - всего</t>
  </si>
  <si>
    <t>2.1 Поступило доходов (поступлений) за отчетный период</t>
  </si>
  <si>
    <t>2.2 Поступления за счет остатка прошлого года</t>
  </si>
  <si>
    <t>Внебюджетные фонды министерств и ведомств, формируемые за счет отчислений (4-010-10)</t>
  </si>
  <si>
    <t>Таксимланадиган тушумлар (4-014-10)</t>
  </si>
  <si>
    <t>Р А С Ш И Ф Р О В К А    Р А С Х О Д О В</t>
  </si>
  <si>
    <t>А.  К А С С О В Ы Е    Р А С Х О Д Ы</t>
  </si>
  <si>
    <t>Наименование расходов</t>
  </si>
  <si>
    <t>Категория</t>
  </si>
  <si>
    <t>Статья и подстатья</t>
  </si>
  <si>
    <t>Элемент</t>
  </si>
  <si>
    <t>по кодам классификация источников средств и уровней бюджетов</t>
  </si>
  <si>
    <t>4010-10</t>
  </si>
  <si>
    <t>4014-10</t>
  </si>
  <si>
    <t>ВСЕГО</t>
  </si>
  <si>
    <t>00</t>
  </si>
  <si>
    <t>000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</si>
  <si>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</si>
  <si>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</si>
  <si>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</si>
  <si>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</si>
  <si>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</si>
  <si>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</si>
  <si>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</si>
  <si>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</si>
  <si>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Пособия</t>
  </si>
  <si>
    <t>47</t>
  </si>
  <si>
    <t>Пособия по временной нетрудоспособности</t>
  </si>
  <si>
    <t>120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</si>
  <si>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</si>
  <si>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</si>
  <si>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</si>
  <si>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</si>
  <si>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</si>
  <si>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</si>
  <si>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</si>
  <si>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</si>
  <si>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</si>
  <si>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</si>
  <si>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</si>
  <si>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Содержание и текущий ремонт</t>
  </si>
  <si>
    <t>30</t>
  </si>
  <si>
    <t>Машины, оборудования и техника</t>
  </si>
  <si>
    <t>34</t>
  </si>
  <si>
    <t>Транспортные средства</t>
  </si>
  <si>
    <t>Расходы запасов материальных оборотных средств</t>
  </si>
  <si>
    <t>50</t>
  </si>
  <si>
    <t>Прочие материальные оборотные средства</t>
  </si>
  <si>
    <t>52</t>
  </si>
  <si>
    <t>Товарно-материальных запасов</t>
  </si>
  <si>
    <t>Расходы на приобретение бумаги</t>
  </si>
  <si>
    <t>Топливо и ГСМ</t>
  </si>
  <si>
    <t>500</t>
  </si>
  <si>
    <t>Другие расходы на приобретение товаров и услуг</t>
  </si>
  <si>
    <t>90</t>
  </si>
  <si>
    <t>Телефонные, телекоммуникационные и информационные услуги</t>
  </si>
  <si>
    <t>92</t>
  </si>
  <si>
    <t>Телефонные, телеграфные и почтовые услуги</t>
  </si>
  <si>
    <t>Информационные и коммуникационные услуги</t>
  </si>
  <si>
    <t>200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</si>
  <si>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</si>
  <si>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</si>
  <si>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</si>
  <si>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</si>
  <si>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</si>
  <si>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</si>
  <si>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54</t>
  </si>
  <si>
    <t>Прочие машины и оборудование</t>
  </si>
  <si>
    <t>900</t>
  </si>
  <si>
    <t xml:space="preserve">Компьютерное оборудование, вычислительная, аудио-видео техника, информационная технология и принадлежности </t>
  </si>
  <si>
    <t>920</t>
  </si>
  <si>
    <t>ДРУГИЕ РАСХОДЫ</t>
  </si>
  <si>
    <t>48</t>
  </si>
  <si>
    <t>Различные прочие расходы</t>
  </si>
  <si>
    <t>Текущие</t>
  </si>
  <si>
    <t>Электрон давлат харидларида иштирок этиш учун закалат тулови харажатлари</t>
  </si>
  <si>
    <t>140</t>
  </si>
  <si>
    <t>Прочие расходы</t>
  </si>
  <si>
    <t>190</t>
  </si>
  <si>
    <t>3. Кассовые расходы, осушествленные в отчетном периоде - всего</t>
  </si>
  <si>
    <t>X</t>
  </si>
  <si>
    <t>3.1 Кассовые расходы</t>
  </si>
  <si>
    <t>3.2 Возврат остатка(9919, 9818)</t>
  </si>
  <si>
    <t>4. Остаток средств на конец отчетного периода</t>
  </si>
  <si>
    <t>4.1 Остаток средств на транзитном счете на конец отчетного периода</t>
  </si>
  <si>
    <t>Б.    Ф А К Т И Ч Е С К И Е      Р А С Х О Д Ы</t>
  </si>
  <si>
    <t>Товарно-материальных запасов (кроме бумаги)</t>
  </si>
  <si>
    <t>110</t>
  </si>
  <si>
    <t>Мебель и офисное оборудование</t>
  </si>
  <si>
    <t>910</t>
  </si>
  <si>
    <t>Прочая техника</t>
  </si>
  <si>
    <t>Руководитель ___________</t>
  </si>
  <si>
    <t xml:space="preserve">Главный бухгалтер _______________ </t>
  </si>
  <si>
    <t>М. П.</t>
  </si>
  <si>
    <t>«___» ________________20__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</si>
</sst>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_р_._-;\-* #,##0.00_р_._-;_-* &quot;-&quot;??_р_._-;_-@_-"/>
    <numFmt numFmtId="165" formatCode="_-* #,##0.00_р_._-;\-* #,##0.00_р_._-;_-* &quot; &quot;??_р_._-;_-@_-"/>
    <numFmt numFmtId="166" formatCode="#,##0.00_ ;\-#,##0.00\ "/>
  </numFmts>
  <fonts count="1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44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49" fontId="8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43" fontId="9" fillId="2" borderId="5" xfId="1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Protection="1"/>
    <xf numFmtId="0" fontId="6" fillId="0" borderId="5" xfId="0" applyNumberFormat="1" applyFont="1" applyFill="1" applyBorder="1" applyAlignment="1" applyProtection="1">
      <alignment horizontal="left" vertical="center" wrapText="1"/>
    </xf>
    <xf numFmtId="49" fontId="10" fillId="0" borderId="5" xfId="0" applyNumberFormat="1" applyFont="1" applyFill="1" applyBorder="1" applyAlignment="1" applyProtection="1">
      <alignment horizontal="center" vertical="center" wrapText="1"/>
    </xf>
    <xf numFmtId="165" fontId="13" fillId="2" borderId="5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 applyProtection="1">
      <alignment horizontal="center" vertical="center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165" fontId="9" fillId="2" borderId="5" xfId="1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/>
    </xf>
    <xf numFmtId="166" fontId="5" fillId="2" borderId="5" xfId="1" applyNumberFormat="1" applyFont="1" applyFill="1" applyBorder="1" applyAlignment="1" applyProtection="1">
      <alignment horizontal="center" vertical="center"/>
    </xf>
    <xf numFmtId="166" fontId="0" fillId="0" borderId="5" xfId="0" applyNumberFormat="1" applyFont="1" applyFill="1" applyBorder="1" applyProtection="1"/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textRotation="90" wrapText="1"/>
    </xf>
    <xf numFmtId="0" fontId="6" fillId="0" borderId="7" xfId="0" applyNumberFormat="1" applyFont="1" applyFill="1" applyBorder="1" applyAlignment="1" applyProtection="1">
      <alignment horizontal="center" vertical="center" textRotation="90" wrapText="1"/>
    </xf>
    <xf numFmtId="0" fontId="6" fillId="0" borderId="8" xfId="0" applyNumberFormat="1" applyFont="1" applyFill="1" applyBorder="1" applyAlignment="1" applyProtection="1">
      <alignment horizontal="center" vertical="center" textRotation="90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Protection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indexed="51"/>
    <pageSetUpPr fitToPage="1"/>
  </sheetPr>
  <dimension ref="A1:J17"/>
  <sheetViews>
    <sheetView showGridLines="0" tabSelected="1" workbookViewId="0">
      <selection activeCell="A12" sqref="A12"/>
    </sheetView>
  </sheetViews>
  <sheetFormatPr defaultRowHeight="15" customHeight="1" x14ac:dyDescent="0.25"/>
  <cols>
    <col min="1" max="1" width="27.42578125" style="17" bestFit="1" customWidth="1"/>
    <col min="2" max="4" width="9.140625" style="17" customWidth="1"/>
    <col min="5" max="5" width="45.7109375" style="17" bestFit="1" customWidth="1"/>
    <col min="6" max="6" width="15.42578125" style="17" customWidth="1"/>
    <col min="7" max="7" width="16.42578125" style="17" bestFit="1" customWidth="1"/>
    <col min="8" max="8" width="16" style="17" bestFit="1" customWidth="1"/>
    <col min="9" max="9" width="12.42578125" style="17" bestFit="1" customWidth="1"/>
    <col min="10" max="10" width="13.7109375" style="17" customWidth="1"/>
    <col min="11" max="11" width="9.140625" style="17" customWidth="1"/>
    <col min="12" max="16384" width="9.140625" style="17"/>
  </cols>
  <sheetData>
    <row r="1" spans="1:10" ht="69" customHeight="1" x14ac:dyDescent="0.25">
      <c r="C1" s="2"/>
      <c r="E1" s="31" t="s">
        <v>0</v>
      </c>
      <c r="F1" s="31"/>
      <c r="G1" s="31"/>
      <c r="H1" s="31"/>
    </row>
    <row r="2" spans="1:10" ht="20.25" customHeight="1" x14ac:dyDescent="0.25">
      <c r="C2" s="2"/>
      <c r="E2" s="16"/>
      <c r="F2" s="16"/>
      <c r="G2" s="16"/>
      <c r="H2" s="16"/>
    </row>
    <row r="3" spans="1:10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</row>
    <row r="4" spans="1:10" ht="15" customHeight="1" x14ac:dyDescent="0.25">
      <c r="A4" s="9"/>
      <c r="B4" s="9"/>
      <c r="C4" s="9"/>
      <c r="D4" s="9"/>
      <c r="E4" s="9"/>
      <c r="F4" s="9"/>
      <c r="G4" s="9"/>
      <c r="H4" s="9"/>
    </row>
    <row r="5" spans="1:10" ht="15" customHeight="1" x14ac:dyDescent="0.25">
      <c r="A5" s="10"/>
      <c r="B5" s="10"/>
      <c r="C5" s="10"/>
      <c r="D5" s="10"/>
      <c r="E5" s="9" t="s">
        <v>2</v>
      </c>
      <c r="F5" s="10"/>
      <c r="G5" s="10"/>
      <c r="H5" s="10"/>
    </row>
    <row r="6" spans="1:10" ht="15" customHeight="1" x14ac:dyDescent="0.25">
      <c r="A6" s="9"/>
      <c r="B6" s="9"/>
      <c r="C6" s="9"/>
      <c r="D6" s="9"/>
      <c r="E6" s="9"/>
      <c r="F6" s="9"/>
      <c r="G6" s="9"/>
      <c r="H6" s="9"/>
    </row>
    <row r="7" spans="1:10" ht="15" customHeight="1" x14ac:dyDescent="0.25">
      <c r="B7" s="10"/>
      <c r="C7" s="10"/>
      <c r="D7" s="10"/>
      <c r="E7" s="9" t="s">
        <v>3</v>
      </c>
      <c r="F7" s="10"/>
      <c r="G7" s="10"/>
      <c r="H7" s="10"/>
    </row>
    <row r="9" spans="1:10" ht="15" customHeight="1" x14ac:dyDescent="0.25">
      <c r="A9" s="10" t="s">
        <v>4</v>
      </c>
      <c r="B9" s="1"/>
      <c r="C9" s="1"/>
      <c r="D9" s="1"/>
      <c r="E9" s="12" t="s">
        <v>5</v>
      </c>
      <c r="F9" s="13"/>
      <c r="G9" s="13"/>
      <c r="H9" s="1"/>
    </row>
    <row r="10" spans="1:10" ht="15" customHeight="1" x14ac:dyDescent="0.25">
      <c r="A10" s="1" t="s">
        <v>6</v>
      </c>
      <c r="B10" s="1"/>
      <c r="C10" s="1"/>
      <c r="D10" s="1"/>
      <c r="E10" s="2" t="s">
        <v>7</v>
      </c>
      <c r="F10" s="1"/>
      <c r="G10" s="1"/>
      <c r="H10" s="1"/>
    </row>
    <row r="11" spans="1:10" ht="15" customHeight="1" x14ac:dyDescent="0.25">
      <c r="A11" s="1" t="s">
        <v>8</v>
      </c>
      <c r="B11" s="1"/>
      <c r="C11" s="1"/>
      <c r="D11" s="1"/>
      <c r="E11" s="11">
        <v>2024</v>
      </c>
      <c r="F11" s="1"/>
      <c r="G11" s="1"/>
      <c r="H11" s="1"/>
    </row>
    <row r="12" spans="1:10" ht="15" customHeight="1" x14ac:dyDescent="0.25">
      <c r="A12" s="1" t="s">
        <v>9</v>
      </c>
      <c r="B12" s="1"/>
      <c r="C12" s="1"/>
      <c r="D12" s="1"/>
      <c r="E12" s="1"/>
      <c r="F12" s="1"/>
      <c r="G12" s="1"/>
      <c r="H12" s="1"/>
    </row>
    <row r="14" spans="1:10" ht="63.75" customHeight="1" x14ac:dyDescent="0.25">
      <c r="A14" s="28" t="s">
        <v>10</v>
      </c>
      <c r="B14" s="29"/>
      <c r="C14" s="29"/>
      <c r="D14" s="29"/>
      <c r="E14" s="29"/>
      <c r="F14" s="30"/>
      <c r="G14" s="3" t="s">
        <v>11</v>
      </c>
      <c r="H14" s="24" t="s">
        <v>12</v>
      </c>
      <c r="I14" s="24" t="s">
        <v>13</v>
      </c>
      <c r="J14" s="24" t="s">
        <v>14</v>
      </c>
    </row>
    <row r="15" spans="1:10" ht="30" customHeight="1" x14ac:dyDescent="0.25">
      <c r="A15" s="33" t="s">
        <v>15</v>
      </c>
      <c r="B15" s="34"/>
      <c r="C15" s="34"/>
      <c r="D15" s="34"/>
      <c r="E15" s="34"/>
      <c r="F15" s="35"/>
      <c r="G15" s="25">
        <v>1047442.3</v>
      </c>
      <c r="H15" s="26">
        <v>2700000</v>
      </c>
      <c r="I15" s="27">
        <v>700000</v>
      </c>
      <c r="J15" s="27">
        <v>2000000</v>
      </c>
    </row>
    <row r="16" spans="1:10" ht="30" customHeight="1" x14ac:dyDescent="0.25">
      <c r="A16" s="33" t="s">
        <v>16</v>
      </c>
      <c r="B16" s="34"/>
      <c r="C16" s="34"/>
      <c r="D16" s="34"/>
      <c r="E16" s="34"/>
      <c r="F16" s="35"/>
      <c r="G16" s="25">
        <v>16028143.300000001</v>
      </c>
      <c r="H16" s="26">
        <v>0</v>
      </c>
      <c r="I16" s="27">
        <v>5172644.8</v>
      </c>
      <c r="J16" s="27">
        <v>0</v>
      </c>
    </row>
    <row r="17" spans="1:10" ht="30" customHeight="1" x14ac:dyDescent="0.25">
      <c r="A17" s="33" t="s">
        <v>16</v>
      </c>
      <c r="B17" s="34"/>
      <c r="C17" s="34"/>
      <c r="D17" s="34"/>
      <c r="E17" s="34"/>
      <c r="F17" s="35"/>
      <c r="G17" s="25">
        <v>974815</v>
      </c>
      <c r="H17" s="26">
        <v>0</v>
      </c>
      <c r="I17" s="27">
        <v>2802781.2</v>
      </c>
      <c r="J17" s="27">
        <v>0</v>
      </c>
    </row>
  </sheetData>
  <mergeCells count="6">
    <mergeCell ref="A17:F17"/>
    <mergeCell ref="A14:F14"/>
    <mergeCell ref="E1:H1"/>
    <mergeCell ref="A3:H3"/>
    <mergeCell ref="A15:F15"/>
    <mergeCell ref="A16:F16"/>
  </mergeCells>
  <pageMargins left="0.47244094488188981" right="0.27559055118110237" top="0.47244094488188981" bottom="0.39370078740157483" header="0.31496062992125984" footer="0.31496062992125984"/>
  <pageSetup paperSize="9" orientation="landscape" horizontalDpi="180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50"/>
    <pageSetUpPr fitToPage="1"/>
  </sheetPr>
  <dimension ref="A1:G50"/>
  <sheetViews>
    <sheetView showGridLines="0" workbookViewId="0">
      <selection activeCell="A12" sqref="A12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5.5703125" style="17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6" t="s">
        <v>17</v>
      </c>
      <c r="B1" s="36"/>
      <c r="C1" s="36"/>
      <c r="D1" s="36"/>
      <c r="E1" s="36"/>
    </row>
    <row r="2" spans="1:7" x14ac:dyDescent="0.25">
      <c r="A2" s="36" t="s">
        <v>18</v>
      </c>
      <c r="B2" s="36"/>
      <c r="C2" s="36"/>
      <c r="D2" s="36"/>
      <c r="E2" s="36"/>
    </row>
    <row r="4" spans="1:7" ht="45" customHeight="1" x14ac:dyDescent="0.25">
      <c r="A4" s="37" t="s">
        <v>19</v>
      </c>
      <c r="B4" s="39" t="s">
        <v>20</v>
      </c>
      <c r="C4" s="39" t="s">
        <v>21</v>
      </c>
      <c r="D4" s="41" t="s">
        <v>22</v>
      </c>
      <c r="E4" s="42" t="s">
        <v>23</v>
      </c>
      <c r="F4" s="43"/>
      <c r="G4" s="43"/>
    </row>
    <row r="5" spans="1:7" x14ac:dyDescent="0.25">
      <c r="A5" s="38"/>
      <c r="B5" s="40"/>
      <c r="C5" s="40"/>
      <c r="D5" s="40"/>
      <c r="E5" s="14" t="s">
        <v>24</v>
      </c>
      <c r="F5" s="14" t="s">
        <v>25</v>
      </c>
      <c r="G5" s="14" t="s">
        <v>25</v>
      </c>
    </row>
    <row r="6" spans="1:7" x14ac:dyDescent="0.25">
      <c r="A6" s="4" t="s">
        <v>26</v>
      </c>
      <c r="B6" s="5" t="s">
        <v>27</v>
      </c>
      <c r="C6" s="5" t="s">
        <v>27</v>
      </c>
      <c r="D6" s="6" t="s">
        <v>28</v>
      </c>
      <c r="E6" s="15">
        <v>3169499.9</v>
      </c>
      <c r="F6" s="15">
        <v>0</v>
      </c>
      <c r="G6" s="15">
        <v>0</v>
      </c>
    </row>
    <row r="7" spans="1:7" x14ac:dyDescent="0.25">
      <c r="A7" s="4" t="s">
        <v>29</v>
      </c>
      <c r="B7" s="5" t="s">
        <v>27</v>
      </c>
      <c r="C7" s="5" t="s">
        <v>27</v>
      </c>
      <c r="D7" s="6" t="s">
        <v>28</v>
      </c>
      <c r="E7" s="15">
        <v>1698249</v>
      </c>
      <c r="F7" s="15">
        <v>0</v>
      </c>
      <c r="G7" s="15">
        <v>0</v>
      </c>
    </row>
    <row r="8" spans="1:7" x14ac:dyDescent="0.25">
      <c r="A8" s="4" t="s">
        <v>30</v>
      </c>
      <c r="B8" s="5" t="s">
        <v>31</v>
      </c>
      <c r="C8" s="5" t="s">
        <v>32</v>
      </c>
      <c r="D8" s="6" t="s">
        <v>28</v>
      </c>
      <c r="E8" s="15">
        <v>1690839.7</v>
      </c>
      <c r="F8" s="15">
        <v>0</v>
      </c>
      <c r="G8" s="15">
        <v>0</v>
      </c>
    </row>
    <row r="9" spans="1:7" x14ac:dyDescent="0.25">
      <c r="A9" s="4" t="s">
        <v>33</v>
      </c>
      <c r="B9" s="5" t="s">
        <v>31</v>
      </c>
      <c r="C9" s="5" t="s">
        <v>34</v>
      </c>
      <c r="D9" s="6" t="s">
        <v>28</v>
      </c>
      <c r="E9" s="15">
        <v>1690839.7</v>
      </c>
      <c r="F9" s="15">
        <v>0</v>
      </c>
      <c r="G9" s="15">
        <v>0</v>
      </c>
    </row>
    <row r="10" spans="1:7" x14ac:dyDescent="0.25">
      <c r="A10" s="18" t="s">
        <v>35</v>
      </c>
      <c r="B10" s="7" t="s">
        <v>31</v>
      </c>
      <c r="C10" s="7" t="s">
        <v>34</v>
      </c>
      <c r="D10" s="19" t="s">
        <v>36</v>
      </c>
      <c r="E10" s="20">
        <v>1690839.7</v>
      </c>
      <c r="F10" s="20">
        <v>0</v>
      </c>
      <c r="G10" s="20">
        <v>0</v>
      </c>
    </row>
    <row r="11" spans="1:7" x14ac:dyDescent="0.25">
      <c r="A11" s="4" t="s">
        <v>37</v>
      </c>
      <c r="B11" s="5" t="s">
        <v>38</v>
      </c>
      <c r="C11" s="5" t="s">
        <v>34</v>
      </c>
      <c r="D11" s="6" t="s">
        <v>36</v>
      </c>
      <c r="E11" s="15">
        <v>7409.3</v>
      </c>
      <c r="F11" s="15">
        <v>0</v>
      </c>
      <c r="G11" s="15">
        <v>0</v>
      </c>
    </row>
    <row r="12" spans="1:7" x14ac:dyDescent="0.25">
      <c r="A12" s="18" t="s">
        <v>39</v>
      </c>
      <c r="B12" s="7" t="s">
        <v>38</v>
      </c>
      <c r="C12" s="7" t="s">
        <v>34</v>
      </c>
      <c r="D12" s="19" t="s">
        <v>40</v>
      </c>
      <c r="E12" s="20">
        <v>7409.3</v>
      </c>
      <c r="F12" s="20">
        <v>0</v>
      </c>
      <c r="G12" s="20">
        <v>0</v>
      </c>
    </row>
    <row r="13" spans="1:7" x14ac:dyDescent="0.25">
      <c r="A13" s="4" t="s">
        <v>41</v>
      </c>
      <c r="B13" s="5" t="s">
        <v>27</v>
      </c>
      <c r="C13" s="5" t="s">
        <v>27</v>
      </c>
      <c r="D13" s="6" t="s">
        <v>28</v>
      </c>
      <c r="E13" s="15">
        <v>512039.4</v>
      </c>
      <c r="F13" s="15">
        <v>0</v>
      </c>
      <c r="G13" s="15">
        <v>0</v>
      </c>
    </row>
    <row r="14" spans="1:7" x14ac:dyDescent="0.25">
      <c r="A14" s="4" t="s">
        <v>42</v>
      </c>
      <c r="B14" s="5" t="s">
        <v>31</v>
      </c>
      <c r="C14" s="5" t="s">
        <v>43</v>
      </c>
      <c r="D14" s="6" t="s">
        <v>28</v>
      </c>
      <c r="E14" s="15">
        <v>512039.4</v>
      </c>
      <c r="F14" s="15">
        <v>0</v>
      </c>
      <c r="G14" s="15">
        <v>0</v>
      </c>
    </row>
    <row r="15" spans="1:7" ht="21" x14ac:dyDescent="0.25">
      <c r="A15" s="4" t="s">
        <v>44</v>
      </c>
      <c r="B15" s="5" t="s">
        <v>31</v>
      </c>
      <c r="C15" s="5" t="s">
        <v>45</v>
      </c>
      <c r="D15" s="6" t="s">
        <v>28</v>
      </c>
      <c r="E15" s="15">
        <v>512039.4</v>
      </c>
      <c r="F15" s="15">
        <v>0</v>
      </c>
      <c r="G15" s="15">
        <v>0</v>
      </c>
    </row>
    <row r="16" spans="1:7" x14ac:dyDescent="0.25">
      <c r="A16" s="18" t="s">
        <v>46</v>
      </c>
      <c r="B16" s="7" t="s">
        <v>31</v>
      </c>
      <c r="C16" s="7" t="s">
        <v>45</v>
      </c>
      <c r="D16" s="19" t="s">
        <v>36</v>
      </c>
      <c r="E16" s="20">
        <v>512039.4</v>
      </c>
      <c r="F16" s="20">
        <v>0</v>
      </c>
      <c r="G16" s="20">
        <v>0</v>
      </c>
    </row>
    <row r="17" spans="1:7" x14ac:dyDescent="0.25">
      <c r="A17" s="4" t="s">
        <v>47</v>
      </c>
      <c r="B17" s="5" t="s">
        <v>27</v>
      </c>
      <c r="C17" s="5" t="s">
        <v>27</v>
      </c>
      <c r="D17" s="6" t="s">
        <v>28</v>
      </c>
      <c r="E17" s="15">
        <v>959211.4</v>
      </c>
      <c r="F17" s="15">
        <v>0</v>
      </c>
      <c r="G17" s="15">
        <v>0</v>
      </c>
    </row>
    <row r="18" spans="1:7" x14ac:dyDescent="0.25">
      <c r="A18" s="4" t="s">
        <v>48</v>
      </c>
      <c r="B18" s="5" t="s">
        <v>49</v>
      </c>
      <c r="C18" s="5" t="s">
        <v>27</v>
      </c>
      <c r="D18" s="6" t="s">
        <v>28</v>
      </c>
      <c r="E18" s="15">
        <v>519711.4</v>
      </c>
      <c r="F18" s="15">
        <v>0</v>
      </c>
      <c r="G18" s="15">
        <v>0</v>
      </c>
    </row>
    <row r="19" spans="1:7" x14ac:dyDescent="0.25">
      <c r="A19" s="4" t="s">
        <v>50</v>
      </c>
      <c r="B19" s="5" t="s">
        <v>49</v>
      </c>
      <c r="C19" s="5" t="s">
        <v>32</v>
      </c>
      <c r="D19" s="6" t="s">
        <v>28</v>
      </c>
      <c r="E19" s="15">
        <v>50500</v>
      </c>
      <c r="F19" s="15">
        <v>0</v>
      </c>
      <c r="G19" s="15">
        <v>0</v>
      </c>
    </row>
    <row r="20" spans="1:7" x14ac:dyDescent="0.25">
      <c r="A20" s="18" t="s">
        <v>51</v>
      </c>
      <c r="B20" s="7" t="s">
        <v>49</v>
      </c>
      <c r="C20" s="7" t="s">
        <v>34</v>
      </c>
      <c r="D20" s="19" t="s">
        <v>28</v>
      </c>
      <c r="E20" s="20">
        <v>50500</v>
      </c>
      <c r="F20" s="20">
        <v>0</v>
      </c>
      <c r="G20" s="20">
        <v>0</v>
      </c>
    </row>
    <row r="21" spans="1:7" x14ac:dyDescent="0.25">
      <c r="A21" s="4" t="s">
        <v>52</v>
      </c>
      <c r="B21" s="5" t="s">
        <v>49</v>
      </c>
      <c r="C21" s="5" t="s">
        <v>53</v>
      </c>
      <c r="D21" s="6" t="s">
        <v>28</v>
      </c>
      <c r="E21" s="15">
        <v>9499.9</v>
      </c>
      <c r="F21" s="15">
        <v>0</v>
      </c>
      <c r="G21" s="15">
        <v>0</v>
      </c>
    </row>
    <row r="22" spans="1:7" x14ac:dyDescent="0.25">
      <c r="A22" s="4" t="s">
        <v>54</v>
      </c>
      <c r="B22" s="5" t="s">
        <v>49</v>
      </c>
      <c r="C22" s="5" t="s">
        <v>55</v>
      </c>
      <c r="D22" s="6" t="s">
        <v>28</v>
      </c>
      <c r="E22" s="15">
        <v>9499.9</v>
      </c>
      <c r="F22" s="15">
        <v>0</v>
      </c>
      <c r="G22" s="15">
        <v>0</v>
      </c>
    </row>
    <row r="23" spans="1:7" x14ac:dyDescent="0.25">
      <c r="A23" s="18" t="s">
        <v>56</v>
      </c>
      <c r="B23" s="7" t="s">
        <v>49</v>
      </c>
      <c r="C23" s="7" t="s">
        <v>55</v>
      </c>
      <c r="D23" s="19" t="s">
        <v>36</v>
      </c>
      <c r="E23" s="20">
        <v>9499.9</v>
      </c>
      <c r="F23" s="20">
        <v>0</v>
      </c>
      <c r="G23" s="20">
        <v>0</v>
      </c>
    </row>
    <row r="24" spans="1:7" x14ac:dyDescent="0.25">
      <c r="A24" s="4" t="s">
        <v>57</v>
      </c>
      <c r="B24" s="5" t="s">
        <v>49</v>
      </c>
      <c r="C24" s="5" t="s">
        <v>58</v>
      </c>
      <c r="D24" s="6" t="s">
        <v>28</v>
      </c>
      <c r="E24" s="15">
        <v>17893.5</v>
      </c>
      <c r="F24" s="15">
        <v>0</v>
      </c>
      <c r="G24" s="15">
        <v>0</v>
      </c>
    </row>
    <row r="25" spans="1:7" x14ac:dyDescent="0.25">
      <c r="A25" s="4" t="s">
        <v>59</v>
      </c>
      <c r="B25" s="5" t="s">
        <v>49</v>
      </c>
      <c r="C25" s="5" t="s">
        <v>60</v>
      </c>
      <c r="D25" s="6" t="s">
        <v>28</v>
      </c>
      <c r="E25" s="15">
        <v>17893.5</v>
      </c>
      <c r="F25" s="15">
        <v>0</v>
      </c>
      <c r="G25" s="15">
        <v>0</v>
      </c>
    </row>
    <row r="26" spans="1:7" x14ac:dyDescent="0.25">
      <c r="A26" s="4" t="s">
        <v>61</v>
      </c>
      <c r="B26" s="5" t="s">
        <v>49</v>
      </c>
      <c r="C26" s="5" t="s">
        <v>60</v>
      </c>
      <c r="D26" s="6" t="s">
        <v>36</v>
      </c>
      <c r="E26" s="15">
        <v>1650</v>
      </c>
      <c r="F26" s="15">
        <v>0</v>
      </c>
      <c r="G26" s="15">
        <v>0</v>
      </c>
    </row>
    <row r="27" spans="1:7" x14ac:dyDescent="0.25">
      <c r="A27" s="18" t="s">
        <v>62</v>
      </c>
      <c r="B27" s="7" t="s">
        <v>49</v>
      </c>
      <c r="C27" s="7" t="s">
        <v>60</v>
      </c>
      <c r="D27" s="19" t="s">
        <v>40</v>
      </c>
      <c r="E27" s="20">
        <v>1650</v>
      </c>
      <c r="F27" s="20">
        <v>0</v>
      </c>
      <c r="G27" s="20">
        <v>0</v>
      </c>
    </row>
    <row r="28" spans="1:7" x14ac:dyDescent="0.25">
      <c r="A28" s="18" t="s">
        <v>63</v>
      </c>
      <c r="B28" s="7" t="s">
        <v>49</v>
      </c>
      <c r="C28" s="7" t="s">
        <v>60</v>
      </c>
      <c r="D28" s="19" t="s">
        <v>64</v>
      </c>
      <c r="E28" s="20">
        <v>16243.5</v>
      </c>
      <c r="F28" s="20">
        <v>0</v>
      </c>
      <c r="G28" s="20">
        <v>0</v>
      </c>
    </row>
    <row r="29" spans="1:7" x14ac:dyDescent="0.25">
      <c r="A29" s="4" t="s">
        <v>65</v>
      </c>
      <c r="B29" s="5" t="s">
        <v>49</v>
      </c>
      <c r="C29" s="5" t="s">
        <v>66</v>
      </c>
      <c r="D29" s="6" t="s">
        <v>28</v>
      </c>
      <c r="E29" s="15">
        <v>441818</v>
      </c>
      <c r="F29" s="15">
        <v>0</v>
      </c>
      <c r="G29" s="15">
        <v>0</v>
      </c>
    </row>
    <row r="30" spans="1:7" ht="21" x14ac:dyDescent="0.25">
      <c r="A30" s="4" t="s">
        <v>67</v>
      </c>
      <c r="B30" s="5" t="s">
        <v>49</v>
      </c>
      <c r="C30" s="5" t="s">
        <v>68</v>
      </c>
      <c r="D30" s="6" t="s">
        <v>28</v>
      </c>
      <c r="E30" s="15">
        <v>9032.7000000000007</v>
      </c>
      <c r="F30" s="15">
        <v>0</v>
      </c>
      <c r="G30" s="15">
        <v>0</v>
      </c>
    </row>
    <row r="31" spans="1:7" x14ac:dyDescent="0.25">
      <c r="A31" s="18" t="s">
        <v>69</v>
      </c>
      <c r="B31" s="7" t="s">
        <v>49</v>
      </c>
      <c r="C31" s="7" t="s">
        <v>68</v>
      </c>
      <c r="D31" s="19" t="s">
        <v>36</v>
      </c>
      <c r="E31" s="20">
        <v>42.9</v>
      </c>
      <c r="F31" s="20">
        <v>0</v>
      </c>
      <c r="G31" s="20">
        <v>0</v>
      </c>
    </row>
    <row r="32" spans="1:7" x14ac:dyDescent="0.25">
      <c r="A32" s="18" t="s">
        <v>70</v>
      </c>
      <c r="B32" s="7" t="s">
        <v>49</v>
      </c>
      <c r="C32" s="7" t="s">
        <v>68</v>
      </c>
      <c r="D32" s="19" t="s">
        <v>71</v>
      </c>
      <c r="E32" s="20">
        <v>8989.7999999999993</v>
      </c>
      <c r="F32" s="20">
        <v>0</v>
      </c>
      <c r="G32" s="20">
        <v>0</v>
      </c>
    </row>
    <row r="33" spans="1:7" x14ac:dyDescent="0.25">
      <c r="A33" s="4" t="s">
        <v>72</v>
      </c>
      <c r="B33" s="5" t="s">
        <v>49</v>
      </c>
      <c r="C33" s="5" t="s">
        <v>73</v>
      </c>
      <c r="D33" s="6" t="s">
        <v>28</v>
      </c>
      <c r="E33" s="15">
        <v>432785.3</v>
      </c>
      <c r="F33" s="15">
        <v>0</v>
      </c>
      <c r="G33" s="15">
        <v>0</v>
      </c>
    </row>
    <row r="34" spans="1:7" x14ac:dyDescent="0.25">
      <c r="A34" s="18" t="s">
        <v>72</v>
      </c>
      <c r="B34" s="7" t="s">
        <v>49</v>
      </c>
      <c r="C34" s="7" t="s">
        <v>73</v>
      </c>
      <c r="D34" s="19" t="s">
        <v>74</v>
      </c>
      <c r="E34" s="20">
        <v>432785.3</v>
      </c>
      <c r="F34" s="20">
        <v>0</v>
      </c>
      <c r="G34" s="20">
        <v>0</v>
      </c>
    </row>
    <row r="35" spans="1:7" x14ac:dyDescent="0.25">
      <c r="A35" s="4" t="s">
        <v>75</v>
      </c>
      <c r="B35" s="5" t="s">
        <v>76</v>
      </c>
      <c r="C35" s="5" t="s">
        <v>27</v>
      </c>
      <c r="D35" s="6" t="s">
        <v>28</v>
      </c>
      <c r="E35" s="15">
        <v>416500</v>
      </c>
      <c r="F35" s="15">
        <v>0</v>
      </c>
      <c r="G35" s="15">
        <v>0</v>
      </c>
    </row>
    <row r="36" spans="1:7" x14ac:dyDescent="0.25">
      <c r="A36" s="4" t="s">
        <v>77</v>
      </c>
      <c r="B36" s="5" t="s">
        <v>76</v>
      </c>
      <c r="C36" s="5" t="s">
        <v>58</v>
      </c>
      <c r="D36" s="6" t="s">
        <v>28</v>
      </c>
      <c r="E36" s="15">
        <v>416500</v>
      </c>
      <c r="F36" s="15">
        <v>0</v>
      </c>
      <c r="G36" s="15">
        <v>0</v>
      </c>
    </row>
    <row r="37" spans="1:7" x14ac:dyDescent="0.25">
      <c r="A37" s="4" t="s">
        <v>54</v>
      </c>
      <c r="B37" s="5" t="s">
        <v>76</v>
      </c>
      <c r="C37" s="5" t="s">
        <v>78</v>
      </c>
      <c r="D37" s="6" t="s">
        <v>28</v>
      </c>
      <c r="E37" s="15">
        <v>416500</v>
      </c>
      <c r="F37" s="15">
        <v>0</v>
      </c>
      <c r="G37" s="15">
        <v>0</v>
      </c>
    </row>
    <row r="38" spans="1:7" x14ac:dyDescent="0.25">
      <c r="A38" s="4" t="s">
        <v>79</v>
      </c>
      <c r="B38" s="5" t="s">
        <v>76</v>
      </c>
      <c r="C38" s="5" t="s">
        <v>78</v>
      </c>
      <c r="D38" s="6" t="s">
        <v>80</v>
      </c>
      <c r="E38" s="15">
        <v>416500</v>
      </c>
      <c r="F38" s="15">
        <v>0</v>
      </c>
      <c r="G38" s="15">
        <v>0</v>
      </c>
    </row>
    <row r="39" spans="1:7" ht="22.5" x14ac:dyDescent="0.25">
      <c r="A39" s="18" t="s">
        <v>81</v>
      </c>
      <c r="B39" s="7" t="s">
        <v>76</v>
      </c>
      <c r="C39" s="7" t="s">
        <v>78</v>
      </c>
      <c r="D39" s="19" t="s">
        <v>82</v>
      </c>
      <c r="E39" s="20">
        <v>416500</v>
      </c>
      <c r="F39" s="20">
        <v>0</v>
      </c>
      <c r="G39" s="20">
        <v>0</v>
      </c>
    </row>
    <row r="40" spans="1:7" x14ac:dyDescent="0.25">
      <c r="A40" s="4" t="s">
        <v>83</v>
      </c>
      <c r="B40" s="5" t="s">
        <v>84</v>
      </c>
      <c r="C40" s="5" t="s">
        <v>27</v>
      </c>
      <c r="D40" s="6" t="s">
        <v>28</v>
      </c>
      <c r="E40" s="15">
        <v>23000</v>
      </c>
      <c r="F40" s="15">
        <v>0</v>
      </c>
      <c r="G40" s="15">
        <v>0</v>
      </c>
    </row>
    <row r="41" spans="1:7" x14ac:dyDescent="0.25">
      <c r="A41" s="4" t="s">
        <v>85</v>
      </c>
      <c r="B41" s="5" t="s">
        <v>84</v>
      </c>
      <c r="C41" s="5" t="s">
        <v>43</v>
      </c>
      <c r="D41" s="6" t="s">
        <v>28</v>
      </c>
      <c r="E41" s="15">
        <v>23000</v>
      </c>
      <c r="F41" s="15">
        <v>0</v>
      </c>
      <c r="G41" s="15">
        <v>0</v>
      </c>
    </row>
    <row r="42" spans="1:7" x14ac:dyDescent="0.25">
      <c r="A42" s="4" t="s">
        <v>86</v>
      </c>
      <c r="B42" s="5" t="s">
        <v>84</v>
      </c>
      <c r="C42" s="5" t="s">
        <v>45</v>
      </c>
      <c r="D42" s="6" t="s">
        <v>28</v>
      </c>
      <c r="E42" s="15">
        <v>23000</v>
      </c>
      <c r="F42" s="15">
        <v>0</v>
      </c>
      <c r="G42" s="15">
        <v>0</v>
      </c>
    </row>
    <row r="43" spans="1:7" x14ac:dyDescent="0.25">
      <c r="A43" s="4" t="s">
        <v>85</v>
      </c>
      <c r="B43" s="5" t="s">
        <v>84</v>
      </c>
      <c r="C43" s="5" t="s">
        <v>45</v>
      </c>
      <c r="D43" s="6" t="s">
        <v>36</v>
      </c>
      <c r="E43" s="15">
        <v>23000</v>
      </c>
      <c r="F43" s="15">
        <v>0</v>
      </c>
      <c r="G43" s="15">
        <v>0</v>
      </c>
    </row>
    <row r="44" spans="1:7" ht="22.5" x14ac:dyDescent="0.25">
      <c r="A44" s="18" t="s">
        <v>87</v>
      </c>
      <c r="B44" s="7" t="s">
        <v>84</v>
      </c>
      <c r="C44" s="7" t="s">
        <v>45</v>
      </c>
      <c r="D44" s="19" t="s">
        <v>88</v>
      </c>
      <c r="E44" s="20">
        <v>1000</v>
      </c>
      <c r="F44" s="20">
        <v>0</v>
      </c>
      <c r="G44" s="20">
        <v>0</v>
      </c>
    </row>
    <row r="45" spans="1:7" x14ac:dyDescent="0.25">
      <c r="A45" s="18" t="s">
        <v>89</v>
      </c>
      <c r="B45" s="7" t="s">
        <v>84</v>
      </c>
      <c r="C45" s="7" t="s">
        <v>45</v>
      </c>
      <c r="D45" s="19" t="s">
        <v>90</v>
      </c>
      <c r="E45" s="20">
        <v>22000</v>
      </c>
      <c r="F45" s="20">
        <v>0</v>
      </c>
      <c r="G45" s="20">
        <v>0</v>
      </c>
    </row>
    <row r="46" spans="1:7" ht="24" x14ac:dyDescent="0.25">
      <c r="A46" s="8" t="s">
        <v>91</v>
      </c>
      <c r="B46" s="5" t="s">
        <v>92</v>
      </c>
      <c r="C46" s="5" t="s">
        <v>92</v>
      </c>
      <c r="D46" s="6" t="s">
        <v>92</v>
      </c>
      <c r="E46" s="21">
        <f>E47+E48</f>
        <v>3169499.9</v>
      </c>
      <c r="F46" s="21">
        <f>F47+F48</f>
        <v>7442710.9000000004</v>
      </c>
      <c r="G46" s="21">
        <f>G47+G48</f>
        <v>974815</v>
      </c>
    </row>
    <row r="47" spans="1:7" x14ac:dyDescent="0.25">
      <c r="A47" s="8" t="s">
        <v>93</v>
      </c>
      <c r="B47" s="5" t="s">
        <v>92</v>
      </c>
      <c r="C47" s="5" t="s">
        <v>92</v>
      </c>
      <c r="D47" s="6" t="s">
        <v>92</v>
      </c>
      <c r="E47" s="21">
        <v>3169499.9</v>
      </c>
      <c r="F47" s="21">
        <v>0</v>
      </c>
      <c r="G47" s="21">
        <v>0</v>
      </c>
    </row>
    <row r="48" spans="1:7" x14ac:dyDescent="0.25">
      <c r="A48" s="8" t="s">
        <v>94</v>
      </c>
      <c r="B48" s="5" t="s">
        <v>92</v>
      </c>
      <c r="C48" s="5" t="s">
        <v>92</v>
      </c>
      <c r="D48" s="6" t="s">
        <v>92</v>
      </c>
      <c r="E48" s="21">
        <v>0</v>
      </c>
      <c r="F48" s="21">
        <v>7442710.9000000004</v>
      </c>
      <c r="G48" s="21">
        <v>974815</v>
      </c>
    </row>
    <row r="49" spans="1:7" x14ac:dyDescent="0.25">
      <c r="A49" s="8" t="s">
        <v>95</v>
      </c>
      <c r="B49" s="5" t="s">
        <v>92</v>
      </c>
      <c r="C49" s="5" t="s">
        <v>92</v>
      </c>
      <c r="D49" s="22" t="s">
        <v>92</v>
      </c>
      <c r="E49" s="23">
        <v>577942.4</v>
      </c>
      <c r="F49" s="23">
        <v>13758077.199999999</v>
      </c>
      <c r="G49" s="23">
        <v>2802781.2</v>
      </c>
    </row>
    <row r="50" spans="1:7" ht="24" x14ac:dyDescent="0.25">
      <c r="A50" s="8" t="s">
        <v>96</v>
      </c>
      <c r="B50" s="5" t="s">
        <v>92</v>
      </c>
      <c r="C50" s="5" t="s">
        <v>92</v>
      </c>
      <c r="D50" s="22" t="s">
        <v>92</v>
      </c>
      <c r="E50" s="23">
        <v>0</v>
      </c>
      <c r="F50" s="23">
        <v>0</v>
      </c>
      <c r="G50" s="23">
        <v>0</v>
      </c>
    </row>
  </sheetData>
  <mergeCells count="7">
    <mergeCell ref="A1:E1"/>
    <mergeCell ref="A2:E2"/>
    <mergeCell ref="A4:A5"/>
    <mergeCell ref="B4:B5"/>
    <mergeCell ref="C4:C5"/>
    <mergeCell ref="D4:D5"/>
    <mergeCell ref="E4:G4"/>
  </mergeCells>
  <pageMargins left="0.27559055118110237" right="0.19685039370078741" top="0.35433070866141736" bottom="0.19685039370078741" header="0.23622047244094491" footer="0.15748031496062992"/>
  <pageSetup paperSize="9" fitToHeight="0" orientation="landscape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54"/>
    <pageSetUpPr fitToPage="1"/>
  </sheetPr>
  <dimension ref="A1:G52"/>
  <sheetViews>
    <sheetView showGridLines="0" workbookViewId="0">
      <selection activeCell="A3" sqref="A3:A4"/>
    </sheetView>
  </sheetViews>
  <sheetFormatPr defaultRowHeight="15" x14ac:dyDescent="0.25"/>
  <cols>
    <col min="1" max="1" width="47.5703125" style="17" customWidth="1"/>
    <col min="2" max="4" width="7.140625" style="17" customWidth="1"/>
    <col min="5" max="5" width="13" style="17" bestFit="1" customWidth="1"/>
    <col min="6" max="7" width="13" style="17" customWidth="1"/>
    <col min="8" max="8" width="9.140625" style="17" customWidth="1"/>
    <col min="9" max="16384" width="9.140625" style="17"/>
  </cols>
  <sheetData>
    <row r="1" spans="1:7" x14ac:dyDescent="0.25">
      <c r="A1" s="32" t="s">
        <v>97</v>
      </c>
      <c r="B1" s="32"/>
      <c r="C1" s="32"/>
      <c r="D1" s="32"/>
      <c r="E1" s="32"/>
    </row>
    <row r="3" spans="1:7" ht="45" customHeight="1" x14ac:dyDescent="0.25">
      <c r="A3" s="37" t="s">
        <v>19</v>
      </c>
      <c r="B3" s="39" t="s">
        <v>20</v>
      </c>
      <c r="C3" s="39" t="s">
        <v>21</v>
      </c>
      <c r="D3" s="41" t="s">
        <v>22</v>
      </c>
      <c r="E3" s="42" t="s">
        <v>23</v>
      </c>
      <c r="F3" s="43"/>
      <c r="G3" s="43"/>
    </row>
    <row r="4" spans="1:7" x14ac:dyDescent="0.25">
      <c r="A4" s="38"/>
      <c r="B4" s="40"/>
      <c r="C4" s="40"/>
      <c r="D4" s="40"/>
      <c r="E4" s="14" t="s">
        <v>24</v>
      </c>
      <c r="F4" s="14" t="s">
        <v>25</v>
      </c>
      <c r="G4" s="14" t="s">
        <v>25</v>
      </c>
    </row>
    <row r="5" spans="1:7" x14ac:dyDescent="0.25">
      <c r="A5" s="4" t="s">
        <v>26</v>
      </c>
      <c r="B5" s="5" t="s">
        <v>27</v>
      </c>
      <c r="C5" s="5" t="s">
        <v>27</v>
      </c>
      <c r="D5" s="6" t="s">
        <v>28</v>
      </c>
      <c r="E5" s="15">
        <v>3354373.6</v>
      </c>
      <c r="F5" s="15">
        <v>0</v>
      </c>
      <c r="G5" s="15">
        <v>0</v>
      </c>
    </row>
    <row r="6" spans="1:7" x14ac:dyDescent="0.25">
      <c r="A6" s="4" t="s">
        <v>29</v>
      </c>
      <c r="B6" s="5" t="s">
        <v>27</v>
      </c>
      <c r="C6" s="5" t="s">
        <v>27</v>
      </c>
      <c r="D6" s="6" t="s">
        <v>28</v>
      </c>
      <c r="E6" s="15">
        <v>2058539.8</v>
      </c>
      <c r="F6" s="15">
        <v>0</v>
      </c>
      <c r="G6" s="15">
        <v>0</v>
      </c>
    </row>
    <row r="7" spans="1:7" x14ac:dyDescent="0.25">
      <c r="A7" s="4" t="s">
        <v>30</v>
      </c>
      <c r="B7" s="5" t="s">
        <v>31</v>
      </c>
      <c r="C7" s="5" t="s">
        <v>32</v>
      </c>
      <c r="D7" s="6" t="s">
        <v>28</v>
      </c>
      <c r="E7" s="15">
        <v>2048157.7</v>
      </c>
      <c r="F7" s="15">
        <v>0</v>
      </c>
      <c r="G7" s="15">
        <v>0</v>
      </c>
    </row>
    <row r="8" spans="1:7" x14ac:dyDescent="0.25">
      <c r="A8" s="4" t="s">
        <v>33</v>
      </c>
      <c r="B8" s="5" t="s">
        <v>31</v>
      </c>
      <c r="C8" s="5" t="s">
        <v>34</v>
      </c>
      <c r="D8" s="6" t="s">
        <v>28</v>
      </c>
      <c r="E8" s="15">
        <v>2048157.7</v>
      </c>
      <c r="F8" s="15">
        <v>0</v>
      </c>
      <c r="G8" s="15">
        <v>0</v>
      </c>
    </row>
    <row r="9" spans="1:7" x14ac:dyDescent="0.25">
      <c r="A9" s="18" t="s">
        <v>35</v>
      </c>
      <c r="B9" s="7" t="s">
        <v>31</v>
      </c>
      <c r="C9" s="7" t="s">
        <v>34</v>
      </c>
      <c r="D9" s="19" t="s">
        <v>36</v>
      </c>
      <c r="E9" s="20">
        <v>2048157.7</v>
      </c>
      <c r="F9" s="20">
        <v>0</v>
      </c>
      <c r="G9" s="20">
        <v>0</v>
      </c>
    </row>
    <row r="10" spans="1:7" x14ac:dyDescent="0.25">
      <c r="A10" s="4" t="s">
        <v>37</v>
      </c>
      <c r="B10" s="5" t="s">
        <v>38</v>
      </c>
      <c r="C10" s="5" t="s">
        <v>34</v>
      </c>
      <c r="D10" s="6" t="s">
        <v>36</v>
      </c>
      <c r="E10" s="15">
        <v>10382.200000000001</v>
      </c>
      <c r="F10" s="15">
        <v>0</v>
      </c>
      <c r="G10" s="15">
        <v>0</v>
      </c>
    </row>
    <row r="11" spans="1:7" x14ac:dyDescent="0.25">
      <c r="A11" s="18" t="s">
        <v>39</v>
      </c>
      <c r="B11" s="7" t="s">
        <v>38</v>
      </c>
      <c r="C11" s="7" t="s">
        <v>34</v>
      </c>
      <c r="D11" s="19" t="s">
        <v>40</v>
      </c>
      <c r="E11" s="20">
        <v>10382.200000000001</v>
      </c>
      <c r="F11" s="20">
        <v>0</v>
      </c>
      <c r="G11" s="20">
        <v>0</v>
      </c>
    </row>
    <row r="12" spans="1:7" x14ac:dyDescent="0.25">
      <c r="A12" s="4" t="s">
        <v>41</v>
      </c>
      <c r="B12" s="5" t="s">
        <v>27</v>
      </c>
      <c r="C12" s="5" t="s">
        <v>27</v>
      </c>
      <c r="D12" s="6" t="s">
        <v>28</v>
      </c>
      <c r="E12" s="15">
        <v>512039.4</v>
      </c>
      <c r="F12" s="15">
        <v>0</v>
      </c>
      <c r="G12" s="15">
        <v>0</v>
      </c>
    </row>
    <row r="13" spans="1:7" x14ac:dyDescent="0.25">
      <c r="A13" s="4" t="s">
        <v>42</v>
      </c>
      <c r="B13" s="5" t="s">
        <v>31</v>
      </c>
      <c r="C13" s="5" t="s">
        <v>43</v>
      </c>
      <c r="D13" s="6" t="s">
        <v>28</v>
      </c>
      <c r="E13" s="15">
        <v>512039.4</v>
      </c>
      <c r="F13" s="15">
        <v>0</v>
      </c>
      <c r="G13" s="15">
        <v>0</v>
      </c>
    </row>
    <row r="14" spans="1:7" ht="21" x14ac:dyDescent="0.25">
      <c r="A14" s="4" t="s">
        <v>44</v>
      </c>
      <c r="B14" s="5" t="s">
        <v>31</v>
      </c>
      <c r="C14" s="5" t="s">
        <v>45</v>
      </c>
      <c r="D14" s="6" t="s">
        <v>28</v>
      </c>
      <c r="E14" s="15">
        <v>512039.4</v>
      </c>
      <c r="F14" s="15">
        <v>0</v>
      </c>
      <c r="G14" s="15">
        <v>0</v>
      </c>
    </row>
    <row r="15" spans="1:7" x14ac:dyDescent="0.25">
      <c r="A15" s="18" t="s">
        <v>46</v>
      </c>
      <c r="B15" s="7" t="s">
        <v>31</v>
      </c>
      <c r="C15" s="7" t="s">
        <v>45</v>
      </c>
      <c r="D15" s="19" t="s">
        <v>36</v>
      </c>
      <c r="E15" s="20">
        <v>512039.4</v>
      </c>
      <c r="F15" s="20">
        <v>0</v>
      </c>
      <c r="G15" s="20">
        <v>0</v>
      </c>
    </row>
    <row r="16" spans="1:7" x14ac:dyDescent="0.25">
      <c r="A16" s="4" t="s">
        <v>47</v>
      </c>
      <c r="B16" s="5" t="s">
        <v>27</v>
      </c>
      <c r="C16" s="5" t="s">
        <v>27</v>
      </c>
      <c r="D16" s="6" t="s">
        <v>28</v>
      </c>
      <c r="E16" s="15">
        <v>783794.4</v>
      </c>
      <c r="F16" s="15">
        <v>0</v>
      </c>
      <c r="G16" s="15">
        <v>0</v>
      </c>
    </row>
    <row r="17" spans="1:7" x14ac:dyDescent="0.25">
      <c r="A17" s="4" t="s">
        <v>48</v>
      </c>
      <c r="B17" s="5" t="s">
        <v>49</v>
      </c>
      <c r="C17" s="5" t="s">
        <v>27</v>
      </c>
      <c r="D17" s="6" t="s">
        <v>28</v>
      </c>
      <c r="E17" s="15">
        <v>715910.1</v>
      </c>
      <c r="F17" s="15">
        <v>0</v>
      </c>
      <c r="G17" s="15">
        <v>0</v>
      </c>
    </row>
    <row r="18" spans="1:7" x14ac:dyDescent="0.25">
      <c r="A18" s="4" t="s">
        <v>50</v>
      </c>
      <c r="B18" s="5" t="s">
        <v>49</v>
      </c>
      <c r="C18" s="5" t="s">
        <v>32</v>
      </c>
      <c r="D18" s="6" t="s">
        <v>28</v>
      </c>
      <c r="E18" s="15">
        <v>57237.599999999999</v>
      </c>
      <c r="F18" s="15">
        <v>0</v>
      </c>
      <c r="G18" s="15">
        <v>0</v>
      </c>
    </row>
    <row r="19" spans="1:7" x14ac:dyDescent="0.25">
      <c r="A19" s="18" t="s">
        <v>51</v>
      </c>
      <c r="B19" s="7" t="s">
        <v>49</v>
      </c>
      <c r="C19" s="7" t="s">
        <v>34</v>
      </c>
      <c r="D19" s="19" t="s">
        <v>28</v>
      </c>
      <c r="E19" s="20">
        <v>57237.599999999999</v>
      </c>
      <c r="F19" s="20">
        <v>0</v>
      </c>
      <c r="G19" s="20">
        <v>0</v>
      </c>
    </row>
    <row r="20" spans="1:7" x14ac:dyDescent="0.25">
      <c r="A20" s="4" t="s">
        <v>52</v>
      </c>
      <c r="B20" s="5" t="s">
        <v>49</v>
      </c>
      <c r="C20" s="5" t="s">
        <v>53</v>
      </c>
      <c r="D20" s="6" t="s">
        <v>28</v>
      </c>
      <c r="E20" s="15">
        <v>9499.9</v>
      </c>
      <c r="F20" s="15">
        <v>0</v>
      </c>
      <c r="G20" s="15">
        <v>0</v>
      </c>
    </row>
    <row r="21" spans="1:7" x14ac:dyDescent="0.25">
      <c r="A21" s="4" t="s">
        <v>54</v>
      </c>
      <c r="B21" s="5" t="s">
        <v>49</v>
      </c>
      <c r="C21" s="5" t="s">
        <v>55</v>
      </c>
      <c r="D21" s="6" t="s">
        <v>28</v>
      </c>
      <c r="E21" s="15">
        <v>9499.9</v>
      </c>
      <c r="F21" s="15">
        <v>0</v>
      </c>
      <c r="G21" s="15">
        <v>0</v>
      </c>
    </row>
    <row r="22" spans="1:7" x14ac:dyDescent="0.25">
      <c r="A22" s="18" t="s">
        <v>56</v>
      </c>
      <c r="B22" s="7" t="s">
        <v>49</v>
      </c>
      <c r="C22" s="7" t="s">
        <v>55</v>
      </c>
      <c r="D22" s="19" t="s">
        <v>36</v>
      </c>
      <c r="E22" s="20">
        <v>9499.9</v>
      </c>
      <c r="F22" s="20">
        <v>0</v>
      </c>
      <c r="G22" s="20">
        <v>0</v>
      </c>
    </row>
    <row r="23" spans="1:7" x14ac:dyDescent="0.25">
      <c r="A23" s="4" t="s">
        <v>57</v>
      </c>
      <c r="B23" s="5" t="s">
        <v>49</v>
      </c>
      <c r="C23" s="5" t="s">
        <v>58</v>
      </c>
      <c r="D23" s="6" t="s">
        <v>28</v>
      </c>
      <c r="E23" s="15">
        <v>9150.1</v>
      </c>
      <c r="F23" s="15">
        <v>0</v>
      </c>
      <c r="G23" s="15">
        <v>0</v>
      </c>
    </row>
    <row r="24" spans="1:7" x14ac:dyDescent="0.25">
      <c r="A24" s="4" t="s">
        <v>59</v>
      </c>
      <c r="B24" s="5" t="s">
        <v>49</v>
      </c>
      <c r="C24" s="5" t="s">
        <v>60</v>
      </c>
      <c r="D24" s="6" t="s">
        <v>28</v>
      </c>
      <c r="E24" s="15">
        <v>9150.1</v>
      </c>
      <c r="F24" s="15">
        <v>0</v>
      </c>
      <c r="G24" s="15">
        <v>0</v>
      </c>
    </row>
    <row r="25" spans="1:7" x14ac:dyDescent="0.25">
      <c r="A25" s="4" t="s">
        <v>61</v>
      </c>
      <c r="B25" s="5" t="s">
        <v>49</v>
      </c>
      <c r="C25" s="5" t="s">
        <v>60</v>
      </c>
      <c r="D25" s="6" t="s">
        <v>36</v>
      </c>
      <c r="E25" s="15">
        <v>1417.4</v>
      </c>
      <c r="F25" s="15">
        <v>0</v>
      </c>
      <c r="G25" s="15">
        <v>0</v>
      </c>
    </row>
    <row r="26" spans="1:7" x14ac:dyDescent="0.25">
      <c r="A26" s="18" t="s">
        <v>98</v>
      </c>
      <c r="B26" s="7" t="s">
        <v>49</v>
      </c>
      <c r="C26" s="7" t="s">
        <v>60</v>
      </c>
      <c r="D26" s="19" t="s">
        <v>99</v>
      </c>
      <c r="E26" s="20">
        <v>1417.4</v>
      </c>
      <c r="F26" s="20">
        <v>0</v>
      </c>
      <c r="G26" s="20">
        <v>0</v>
      </c>
    </row>
    <row r="27" spans="1:7" x14ac:dyDescent="0.25">
      <c r="A27" s="18" t="s">
        <v>63</v>
      </c>
      <c r="B27" s="7" t="s">
        <v>49</v>
      </c>
      <c r="C27" s="7" t="s">
        <v>60</v>
      </c>
      <c r="D27" s="19" t="s">
        <v>64</v>
      </c>
      <c r="E27" s="20">
        <v>7732.7</v>
      </c>
      <c r="F27" s="20">
        <v>0</v>
      </c>
      <c r="G27" s="20">
        <v>0</v>
      </c>
    </row>
    <row r="28" spans="1:7" x14ac:dyDescent="0.25">
      <c r="A28" s="4" t="s">
        <v>65</v>
      </c>
      <c r="B28" s="5" t="s">
        <v>49</v>
      </c>
      <c r="C28" s="5" t="s">
        <v>66</v>
      </c>
      <c r="D28" s="6" t="s">
        <v>28</v>
      </c>
      <c r="E28" s="15">
        <v>640022.5</v>
      </c>
      <c r="F28" s="15">
        <v>0</v>
      </c>
      <c r="G28" s="15">
        <v>0</v>
      </c>
    </row>
    <row r="29" spans="1:7" ht="21" x14ac:dyDescent="0.25">
      <c r="A29" s="4" t="s">
        <v>67</v>
      </c>
      <c r="B29" s="5" t="s">
        <v>49</v>
      </c>
      <c r="C29" s="5" t="s">
        <v>68</v>
      </c>
      <c r="D29" s="6" t="s">
        <v>28</v>
      </c>
      <c r="E29" s="15">
        <v>7993.8</v>
      </c>
      <c r="F29" s="15">
        <v>0</v>
      </c>
      <c r="G29" s="15">
        <v>0</v>
      </c>
    </row>
    <row r="30" spans="1:7" x14ac:dyDescent="0.25">
      <c r="A30" s="18" t="s">
        <v>69</v>
      </c>
      <c r="B30" s="7" t="s">
        <v>49</v>
      </c>
      <c r="C30" s="7" t="s">
        <v>68</v>
      </c>
      <c r="D30" s="19" t="s">
        <v>36</v>
      </c>
      <c r="E30" s="20">
        <v>33.9</v>
      </c>
      <c r="F30" s="20">
        <v>0</v>
      </c>
      <c r="G30" s="20">
        <v>0</v>
      </c>
    </row>
    <row r="31" spans="1:7" x14ac:dyDescent="0.25">
      <c r="A31" s="18" t="s">
        <v>70</v>
      </c>
      <c r="B31" s="7" t="s">
        <v>49</v>
      </c>
      <c r="C31" s="7" t="s">
        <v>68</v>
      </c>
      <c r="D31" s="19" t="s">
        <v>71</v>
      </c>
      <c r="E31" s="20">
        <v>7959.9</v>
      </c>
      <c r="F31" s="20">
        <v>0</v>
      </c>
      <c r="G31" s="20">
        <v>0</v>
      </c>
    </row>
    <row r="32" spans="1:7" x14ac:dyDescent="0.25">
      <c r="A32" s="4" t="s">
        <v>72</v>
      </c>
      <c r="B32" s="5" t="s">
        <v>49</v>
      </c>
      <c r="C32" s="5" t="s">
        <v>73</v>
      </c>
      <c r="D32" s="6" t="s">
        <v>28</v>
      </c>
      <c r="E32" s="15">
        <v>632028.69999999995</v>
      </c>
      <c r="F32" s="15">
        <v>0</v>
      </c>
      <c r="G32" s="15">
        <v>0</v>
      </c>
    </row>
    <row r="33" spans="1:7" x14ac:dyDescent="0.25">
      <c r="A33" s="18" t="s">
        <v>72</v>
      </c>
      <c r="B33" s="7" t="s">
        <v>49</v>
      </c>
      <c r="C33" s="7" t="s">
        <v>73</v>
      </c>
      <c r="D33" s="19" t="s">
        <v>74</v>
      </c>
      <c r="E33" s="20">
        <v>632028.69999999995</v>
      </c>
      <c r="F33" s="20">
        <v>0</v>
      </c>
      <c r="G33" s="20">
        <v>0</v>
      </c>
    </row>
    <row r="34" spans="1:7" x14ac:dyDescent="0.25">
      <c r="A34" s="4" t="s">
        <v>75</v>
      </c>
      <c r="B34" s="5" t="s">
        <v>76</v>
      </c>
      <c r="C34" s="5" t="s">
        <v>27</v>
      </c>
      <c r="D34" s="6" t="s">
        <v>28</v>
      </c>
      <c r="E34" s="15">
        <v>67449.8</v>
      </c>
      <c r="F34" s="15">
        <v>0</v>
      </c>
      <c r="G34" s="15">
        <v>0</v>
      </c>
    </row>
    <row r="35" spans="1:7" x14ac:dyDescent="0.25">
      <c r="A35" s="4" t="s">
        <v>77</v>
      </c>
      <c r="B35" s="5" t="s">
        <v>76</v>
      </c>
      <c r="C35" s="5" t="s">
        <v>58</v>
      </c>
      <c r="D35" s="6" t="s">
        <v>28</v>
      </c>
      <c r="E35" s="15">
        <v>67449.8</v>
      </c>
      <c r="F35" s="15">
        <v>0</v>
      </c>
      <c r="G35" s="15">
        <v>0</v>
      </c>
    </row>
    <row r="36" spans="1:7" x14ac:dyDescent="0.25">
      <c r="A36" s="4" t="s">
        <v>54</v>
      </c>
      <c r="B36" s="5" t="s">
        <v>76</v>
      </c>
      <c r="C36" s="5" t="s">
        <v>78</v>
      </c>
      <c r="D36" s="6" t="s">
        <v>28</v>
      </c>
      <c r="E36" s="15">
        <v>67449.8</v>
      </c>
      <c r="F36" s="15">
        <v>0</v>
      </c>
      <c r="G36" s="15">
        <v>0</v>
      </c>
    </row>
    <row r="37" spans="1:7" x14ac:dyDescent="0.25">
      <c r="A37" s="18" t="s">
        <v>56</v>
      </c>
      <c r="B37" s="7" t="s">
        <v>76</v>
      </c>
      <c r="C37" s="7" t="s">
        <v>78</v>
      </c>
      <c r="D37" s="19" t="s">
        <v>36</v>
      </c>
      <c r="E37" s="20">
        <v>271.8</v>
      </c>
      <c r="F37" s="20">
        <v>0</v>
      </c>
      <c r="G37" s="20">
        <v>0</v>
      </c>
    </row>
    <row r="38" spans="1:7" x14ac:dyDescent="0.25">
      <c r="A38" s="4" t="s">
        <v>79</v>
      </c>
      <c r="B38" s="5" t="s">
        <v>76</v>
      </c>
      <c r="C38" s="5" t="s">
        <v>78</v>
      </c>
      <c r="D38" s="6" t="s">
        <v>80</v>
      </c>
      <c r="E38" s="15">
        <v>67178</v>
      </c>
      <c r="F38" s="15">
        <v>0</v>
      </c>
      <c r="G38" s="15">
        <v>0</v>
      </c>
    </row>
    <row r="39" spans="1:7" x14ac:dyDescent="0.25">
      <c r="A39" s="18" t="s">
        <v>100</v>
      </c>
      <c r="B39" s="7" t="s">
        <v>76</v>
      </c>
      <c r="C39" s="7" t="s">
        <v>78</v>
      </c>
      <c r="D39" s="19" t="s">
        <v>101</v>
      </c>
      <c r="E39" s="20">
        <v>17833.3</v>
      </c>
      <c r="F39" s="20">
        <v>0</v>
      </c>
      <c r="G39" s="20">
        <v>0</v>
      </c>
    </row>
    <row r="40" spans="1:7" ht="22.5" x14ac:dyDescent="0.25">
      <c r="A40" s="18" t="s">
        <v>81</v>
      </c>
      <c r="B40" s="7" t="s">
        <v>76</v>
      </c>
      <c r="C40" s="7" t="s">
        <v>78</v>
      </c>
      <c r="D40" s="19" t="s">
        <v>82</v>
      </c>
      <c r="E40" s="20">
        <v>44234.9</v>
      </c>
      <c r="F40" s="20">
        <v>0</v>
      </c>
      <c r="G40" s="20">
        <v>0</v>
      </c>
    </row>
    <row r="41" spans="1:7" x14ac:dyDescent="0.25">
      <c r="A41" s="18" t="s">
        <v>102</v>
      </c>
      <c r="B41" s="7" t="s">
        <v>76</v>
      </c>
      <c r="C41" s="7" t="s">
        <v>78</v>
      </c>
      <c r="D41" s="19" t="s">
        <v>74</v>
      </c>
      <c r="E41" s="20">
        <v>5109.8999999999996</v>
      </c>
      <c r="F41" s="20">
        <v>0</v>
      </c>
      <c r="G41" s="20">
        <v>0</v>
      </c>
    </row>
    <row r="42" spans="1:7" x14ac:dyDescent="0.25">
      <c r="A42" s="4" t="s">
        <v>83</v>
      </c>
      <c r="B42" s="5" t="s">
        <v>84</v>
      </c>
      <c r="C42" s="5" t="s">
        <v>27</v>
      </c>
      <c r="D42" s="6" t="s">
        <v>28</v>
      </c>
      <c r="E42" s="15">
        <v>434.4</v>
      </c>
      <c r="F42" s="15">
        <v>0</v>
      </c>
      <c r="G42" s="15">
        <v>0</v>
      </c>
    </row>
    <row r="43" spans="1:7" x14ac:dyDescent="0.25">
      <c r="A43" s="4" t="s">
        <v>85</v>
      </c>
      <c r="B43" s="5" t="s">
        <v>84</v>
      </c>
      <c r="C43" s="5" t="s">
        <v>43</v>
      </c>
      <c r="D43" s="6" t="s">
        <v>28</v>
      </c>
      <c r="E43" s="15">
        <v>434.4</v>
      </c>
      <c r="F43" s="15">
        <v>0</v>
      </c>
      <c r="G43" s="15">
        <v>0</v>
      </c>
    </row>
    <row r="44" spans="1:7" x14ac:dyDescent="0.25">
      <c r="A44" s="4" t="s">
        <v>86</v>
      </c>
      <c r="B44" s="5" t="s">
        <v>84</v>
      </c>
      <c r="C44" s="5" t="s">
        <v>45</v>
      </c>
      <c r="D44" s="6" t="s">
        <v>28</v>
      </c>
      <c r="E44" s="15">
        <v>434.4</v>
      </c>
      <c r="F44" s="15">
        <v>0</v>
      </c>
      <c r="G44" s="15">
        <v>0</v>
      </c>
    </row>
    <row r="45" spans="1:7" x14ac:dyDescent="0.25">
      <c r="A45" s="4" t="s">
        <v>85</v>
      </c>
      <c r="B45" s="5" t="s">
        <v>84</v>
      </c>
      <c r="C45" s="5" t="s">
        <v>45</v>
      </c>
      <c r="D45" s="6" t="s">
        <v>36</v>
      </c>
      <c r="E45" s="15">
        <v>434.4</v>
      </c>
      <c r="F45" s="15">
        <v>0</v>
      </c>
      <c r="G45" s="15">
        <v>0</v>
      </c>
    </row>
    <row r="46" spans="1:7" ht="22.5" x14ac:dyDescent="0.25">
      <c r="A46" s="18" t="s">
        <v>87</v>
      </c>
      <c r="B46" s="7" t="s">
        <v>84</v>
      </c>
      <c r="C46" s="7" t="s">
        <v>45</v>
      </c>
      <c r="D46" s="19" t="s">
        <v>88</v>
      </c>
      <c r="E46" s="20">
        <v>434.4</v>
      </c>
      <c r="F46" s="20">
        <v>0</v>
      </c>
      <c r="G46" s="20">
        <v>0</v>
      </c>
    </row>
    <row r="49" spans="1:2" x14ac:dyDescent="0.25">
      <c r="A49" s="1" t="s">
        <v>103</v>
      </c>
      <c r="B49" s="1" t="s">
        <v>104</v>
      </c>
    </row>
    <row r="52" spans="1:2" x14ac:dyDescent="0.25">
      <c r="A52" s="1" t="s">
        <v>105</v>
      </c>
      <c r="B52" s="1" t="s">
        <v>106</v>
      </c>
    </row>
  </sheetData>
  <mergeCells count="6">
    <mergeCell ref="A1:E1"/>
    <mergeCell ref="A3:A4"/>
    <mergeCell ref="B3:B4"/>
    <mergeCell ref="C3:C4"/>
    <mergeCell ref="D3:D4"/>
    <mergeCell ref="E3:G3"/>
  </mergeCells>
  <pageMargins left="0.27559055118110237" right="0.23622047244094491" top="0.27559055118110237" bottom="0.27559055118110237" header="0.19685039370078741" footer="0.19685039370078741"/>
  <pageSetup paperSize="9" fitToHeight="0" orientation="landscape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Остаток и поступления</vt:lpstr>
      <vt:lpstr>Кассовые расходы</vt:lpstr>
      <vt:lpstr>Фактические расходы</vt:lpstr>
      <vt:lpstr>FinancingLevel</vt:lpstr>
      <vt:lpstr>ImportRowAct</vt:lpstr>
      <vt:lpstr>ImportRowCash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Buzrukov8</dc:creator>
  <cp:lastModifiedBy>MYCOM</cp:lastModifiedBy>
  <dcterms:created xsi:type="dcterms:W3CDTF">2022-04-12T05:41:49Z</dcterms:created>
  <dcterms:modified xsi:type="dcterms:W3CDTF">2024-10-29T06:34:17Z</dcterms:modified>
</cp:coreProperties>
</file>