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30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2">Отчет!$F$23</definedName>
    <definedName name="R_113">Отчет!$F$20</definedName>
    <definedName name="R_12">Отчет!$F$25</definedName>
    <definedName name="R_3">Отчет!$F$11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  <c r="F12" i="3" s="1"/>
  <c r="F24" i="3" s="1"/>
</calcChain>
</file>

<file path=xl/sharedStrings.xml><?xml version="1.0" encoding="utf-8"?>
<sst xmlns="http://schemas.openxmlformats.org/spreadsheetml/2006/main" count="137" uniqueCount="80">
  <si>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</si>
  <si>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</si>
  <si>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01.04.2025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</si>
  <si>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</si>
  <si>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</si>
  <si>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</si>
  <si>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апреля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</si>
  <si>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</si>
  <si>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</si>
  <si>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</si>
  <si>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</si>
  <si>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</si>
  <si>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</si>
  <si>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</si>
  <si>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</si>
  <si>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</si>
  <si>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</si>
  <si>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</si>
  <si>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</si>
  <si>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</si>
  <si>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</si>
  <si>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</si>
  <si>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</si>
  <si>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</si>
  <si>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</si>
  <si>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</si>
  <si>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</si>
  <si>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</si>
  <si>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</si>
  <si>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</si>
  <si>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</si>
  <si>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</si>
  <si>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</si>
  <si>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</si>
  <si>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</si>
  <si>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</si>
  <si>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</si>
  <si>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</si>
  <si>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</si>
  <si>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</si>
  <si>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</si>
  <si>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</si>
  <si>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</si>
  <si>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</si>
  <si>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</si>
  <si>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</si>
  <si>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</si>
  <si>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</si>
  <si>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</si>
  <si>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</si>
  <si>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</si>
  <si>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</si>
  <si>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</si>
  <si>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</si>
  <si>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</si>
  <si>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</si>
  <si>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</si>
  <si>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</si>
  <si>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000</t>
  </si>
  <si>
    <t>Другие расходы на приобретение товаров и услуг</t>
  </si>
  <si>
    <t>90</t>
  </si>
  <si>
    <t>Расходы на обучение</t>
  </si>
  <si>
    <t>91</t>
  </si>
  <si>
    <t>РАСХОДЫ ПО ОСНОВНЫМ СРЕДСТВАМ</t>
  </si>
  <si>
    <t>43</t>
  </si>
  <si>
    <t>Приобретение основных средств</t>
  </si>
  <si>
    <t>50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</si>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</sst>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6" fillId="0" borderId="0"/>
    <xf numFmtId="0" fontId="6" fillId="2" borderId="0"/>
  </cellStyleXfs>
  <cellXfs count="38">
    <xf numFmtId="0" fontId="0" fillId="0" borderId="0" xfId="0" applyNumberFormat="1" applyFont="1" applyFill="1" applyBorder="1" applyProtection="1"/>
    <xf numFmtId="165" fontId="23" fillId="33" borderId="13" xfId="42" applyNumberFormat="1" applyFont="1" applyFill="1" applyBorder="1" applyAlignment="1" applyProtection="1">
      <alignment horizontal="center" vertical="center"/>
    </xf>
    <xf numFmtId="165" fontId="24" fillId="33" borderId="13" xfId="42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36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36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wrapText="1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6"/>
  <sheetViews>
    <sheetView tabSelected="1" topLeftCell="A22" workbookViewId="0">
      <selection activeCell="F27" sqref="F27"/>
    </sheetView>
  </sheetViews>
  <sheetFormatPr defaultColWidth="15" defaultRowHeight="15" x14ac:dyDescent="0.25"/>
  <cols>
    <col min="1" max="1" width="31.7109375" style="9" customWidth="1"/>
    <col min="2" max="5" width="15" style="9" customWidth="1"/>
    <col min="6" max="6" width="17.85546875" style="9" customWidth="1"/>
    <col min="7" max="8" width="15" style="9" customWidth="1"/>
    <col min="9" max="16384" width="15" style="9"/>
  </cols>
  <sheetData>
    <row r="1" spans="1:6" ht="54.75" customHeight="1" x14ac:dyDescent="0.25">
      <c r="C1" s="19" t="s">
        <v>0</v>
      </c>
      <c r="D1" s="19"/>
      <c r="E1" s="19"/>
      <c r="F1" s="19"/>
    </row>
    <row r="2" spans="1:6" ht="36.75" customHeight="1" x14ac:dyDescent="0.25">
      <c r="A2" s="20" t="s">
        <v>1</v>
      </c>
      <c r="B2" s="20"/>
      <c r="C2" s="20"/>
      <c r="D2" s="20"/>
      <c r="E2" s="20"/>
      <c r="F2" s="20"/>
    </row>
    <row r="3" spans="1:6" x14ac:dyDescent="0.25">
      <c r="A3" s="21" t="s">
        <v>2</v>
      </c>
      <c r="B3" s="21"/>
      <c r="C3" s="21"/>
      <c r="D3" s="21"/>
      <c r="E3" s="21"/>
      <c r="F3" s="21"/>
    </row>
    <row r="5" spans="1:6" x14ac:dyDescent="0.25">
      <c r="A5" s="7" t="s">
        <v>3</v>
      </c>
      <c r="B5" s="22" t="s">
        <v>4</v>
      </c>
      <c r="C5" s="22"/>
      <c r="D5" s="22"/>
      <c r="E5" s="22"/>
      <c r="F5" s="22"/>
    </row>
    <row r="6" spans="1:6" x14ac:dyDescent="0.25">
      <c r="A6" s="7" t="s">
        <v>5</v>
      </c>
      <c r="B6" s="23" t="s">
        <v>6</v>
      </c>
      <c r="C6" s="23"/>
      <c r="D6" s="23"/>
      <c r="E6" s="23"/>
      <c r="F6" s="23"/>
    </row>
    <row r="7" spans="1:6" x14ac:dyDescent="0.25">
      <c r="A7" s="7" t="s">
        <v>7</v>
      </c>
      <c r="B7" s="23" t="s">
        <v>8</v>
      </c>
      <c r="C7" s="23"/>
      <c r="D7" s="23"/>
      <c r="E7" s="23"/>
      <c r="F7" s="23"/>
    </row>
    <row r="8" spans="1:6" x14ac:dyDescent="0.25">
      <c r="A8" s="7" t="s">
        <v>9</v>
      </c>
      <c r="B8" s="23" t="s">
        <v>10</v>
      </c>
      <c r="C8" s="23"/>
      <c r="D8" s="23"/>
      <c r="E8" s="23"/>
      <c r="F8" s="23"/>
    </row>
    <row r="9" spans="1:6" x14ac:dyDescent="0.25">
      <c r="A9" s="8" t="s">
        <v>11</v>
      </c>
      <c r="B9" s="24" t="s">
        <v>12</v>
      </c>
      <c r="C9" s="24"/>
      <c r="D9" s="24"/>
      <c r="E9" s="24"/>
      <c r="F9" s="24"/>
    </row>
    <row r="10" spans="1:6" ht="15.75" customHeight="1" x14ac:dyDescent="0.25">
      <c r="A10" s="25" t="s">
        <v>13</v>
      </c>
      <c r="B10" s="26"/>
      <c r="C10" s="26"/>
      <c r="D10" s="26"/>
      <c r="E10" s="27"/>
      <c r="F10" s="11" t="s">
        <v>14</v>
      </c>
    </row>
    <row r="11" spans="1:6" ht="15.75" customHeight="1" x14ac:dyDescent="0.25">
      <c r="A11" s="28" t="s">
        <v>15</v>
      </c>
      <c r="B11" s="29"/>
      <c r="C11" s="29"/>
      <c r="D11" s="29"/>
      <c r="E11" s="30"/>
      <c r="F11" s="1">
        <v>622446.4</v>
      </c>
    </row>
    <row r="12" spans="1:6" ht="15.75" customHeight="1" x14ac:dyDescent="0.25">
      <c r="A12" s="31" t="s">
        <v>16</v>
      </c>
      <c r="B12" s="17"/>
      <c r="C12" s="17"/>
      <c r="D12" s="17"/>
      <c r="E12" s="18"/>
      <c r="F12" s="1">
        <f>F13+F20</f>
        <v>2789660.6</v>
      </c>
    </row>
    <row r="13" spans="1:6" ht="15.75" customHeight="1" x14ac:dyDescent="0.25">
      <c r="A13" s="16" t="s">
        <v>17</v>
      </c>
      <c r="B13" s="17"/>
      <c r="C13" s="17"/>
      <c r="D13" s="17"/>
      <c r="E13" s="18"/>
      <c r="F13" s="1">
        <f>SUM(F15:F19)</f>
        <v>2789660.6</v>
      </c>
    </row>
    <row r="14" spans="1:6" ht="15.75" customHeight="1" x14ac:dyDescent="0.25">
      <c r="A14" s="32" t="s">
        <v>18</v>
      </c>
      <c r="B14" s="33"/>
      <c r="C14" s="33"/>
      <c r="D14" s="33"/>
      <c r="E14" s="34"/>
      <c r="F14" s="1"/>
    </row>
    <row r="15" spans="1:6" ht="15.75" customHeight="1" x14ac:dyDescent="0.25">
      <c r="A15" s="32" t="s">
        <v>19</v>
      </c>
      <c r="B15" s="33"/>
      <c r="C15" s="33"/>
      <c r="D15" s="33"/>
      <c r="E15" s="34"/>
      <c r="F15" s="2">
        <v>0</v>
      </c>
    </row>
    <row r="16" spans="1:6" ht="33.75" customHeight="1" x14ac:dyDescent="0.25">
      <c r="A16" s="32" t="s">
        <v>20</v>
      </c>
      <c r="B16" s="33"/>
      <c r="C16" s="33"/>
      <c r="D16" s="33"/>
      <c r="E16" s="34"/>
      <c r="F16" s="2">
        <v>0</v>
      </c>
    </row>
    <row r="17" spans="1:6" ht="33" customHeight="1" x14ac:dyDescent="0.25">
      <c r="A17" s="32" t="s">
        <v>21</v>
      </c>
      <c r="B17" s="33"/>
      <c r="C17" s="33"/>
      <c r="D17" s="33"/>
      <c r="E17" s="34"/>
      <c r="F17" s="2">
        <v>0</v>
      </c>
    </row>
    <row r="18" spans="1:6" x14ac:dyDescent="0.25">
      <c r="A18" s="32" t="s">
        <v>22</v>
      </c>
      <c r="B18" s="33"/>
      <c r="C18" s="33"/>
      <c r="D18" s="33"/>
      <c r="E18" s="34"/>
      <c r="F18" s="2">
        <v>2789660.6</v>
      </c>
    </row>
    <row r="19" spans="1:6" ht="31.5" customHeight="1" x14ac:dyDescent="0.25">
      <c r="A19" s="32" t="s">
        <v>23</v>
      </c>
      <c r="B19" s="33"/>
      <c r="C19" s="33"/>
      <c r="D19" s="33"/>
      <c r="E19" s="34"/>
      <c r="F19" s="2">
        <v>0</v>
      </c>
    </row>
    <row r="20" spans="1:6" x14ac:dyDescent="0.25">
      <c r="A20" s="16" t="s">
        <v>24</v>
      </c>
      <c r="B20" s="17"/>
      <c r="C20" s="17"/>
      <c r="D20" s="17"/>
      <c r="E20" s="18"/>
      <c r="F20" s="1">
        <v>0</v>
      </c>
    </row>
    <row r="21" spans="1:6" ht="15.75" customHeight="1" x14ac:dyDescent="0.25">
      <c r="A21" s="31" t="s">
        <v>25</v>
      </c>
      <c r="B21" s="17"/>
      <c r="C21" s="17"/>
      <c r="D21" s="17"/>
      <c r="E21" s="18"/>
      <c r="F21" s="1">
        <f>F22+F23</f>
        <v>99782.8</v>
      </c>
    </row>
    <row r="22" spans="1:6" ht="15.75" customHeight="1" x14ac:dyDescent="0.25">
      <c r="A22" s="31" t="s">
        <v>26</v>
      </c>
      <c r="B22" s="17"/>
      <c r="C22" s="17"/>
      <c r="D22" s="17"/>
      <c r="E22" s="18"/>
      <c r="F22" s="1">
        <v>99782.8</v>
      </c>
    </row>
    <row r="23" spans="1:6" ht="15.75" customHeight="1" x14ac:dyDescent="0.25">
      <c r="A23" s="31" t="s">
        <v>27</v>
      </c>
      <c r="B23" s="17"/>
      <c r="C23" s="17"/>
      <c r="D23" s="17"/>
      <c r="E23" s="18"/>
      <c r="F23" s="1">
        <v>0</v>
      </c>
    </row>
    <row r="24" spans="1:6" ht="15.75" customHeight="1" x14ac:dyDescent="0.25">
      <c r="A24" s="31" t="s">
        <v>28</v>
      </c>
      <c r="B24" s="17"/>
      <c r="C24" s="17"/>
      <c r="D24" s="17"/>
      <c r="E24" s="18"/>
      <c r="F24" s="1">
        <f>F11+F12-F21</f>
        <v>3312324.2</v>
      </c>
    </row>
    <row r="25" spans="1:6" ht="15.75" customHeight="1" x14ac:dyDescent="0.25">
      <c r="A25" s="31" t="s">
        <v>29</v>
      </c>
      <c r="B25" s="17"/>
      <c r="C25" s="17"/>
      <c r="D25" s="17"/>
      <c r="E25" s="18"/>
      <c r="F25" s="1">
        <v>0</v>
      </c>
    </row>
    <row r="26" spans="1:6" x14ac:dyDescent="0.25">
      <c r="A26" s="35" t="s">
        <v>30</v>
      </c>
      <c r="B26" s="35"/>
      <c r="C26" s="35"/>
      <c r="D26" s="35"/>
      <c r="E26" s="35"/>
      <c r="F26" s="35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99782.8</v>
      </c>
      <c r="F28" s="1">
        <v>121391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58731.3</v>
      </c>
      <c r="F29" s="1">
        <v>58731.3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58731.3</v>
      </c>
      <c r="F30" s="1">
        <v>58731.3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58731.3</v>
      </c>
      <c r="F31" s="1">
        <v>58731.3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58731.3</v>
      </c>
      <c r="F32" s="2">
        <v>58731.3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13902.7</v>
      </c>
      <c r="F33" s="1">
        <v>13902.7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13902.7</v>
      </c>
      <c r="F34" s="1">
        <v>13902.7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13902.7</v>
      </c>
      <c r="F35" s="1">
        <v>13902.7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13902.7</v>
      </c>
      <c r="F36" s="2">
        <v>13902.7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27148.7</v>
      </c>
      <c r="F37" s="1">
        <v>48757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25648.7</v>
      </c>
      <c r="F38" s="1">
        <v>12048.7</v>
      </c>
    </row>
    <row r="39" spans="1:6" s="13" customFormat="1" ht="14.25" x14ac:dyDescent="0.2">
      <c r="A39" s="14" t="s">
        <v>56</v>
      </c>
      <c r="B39" s="15" t="s">
        <v>55</v>
      </c>
      <c r="C39" s="15" t="s">
        <v>42</v>
      </c>
      <c r="D39" s="15" t="s">
        <v>38</v>
      </c>
      <c r="E39" s="1">
        <v>12048.7</v>
      </c>
      <c r="F39" s="1">
        <v>12048.7</v>
      </c>
    </row>
    <row r="40" spans="1:6" x14ac:dyDescent="0.25">
      <c r="A40" s="12" t="s">
        <v>57</v>
      </c>
      <c r="B40" s="6" t="s">
        <v>55</v>
      </c>
      <c r="C40" s="6" t="s">
        <v>44</v>
      </c>
      <c r="D40" s="6" t="s">
        <v>58</v>
      </c>
      <c r="E40" s="2">
        <v>12048.7</v>
      </c>
      <c r="F40" s="2">
        <v>12048.7</v>
      </c>
    </row>
    <row r="41" spans="1:6" s="13" customFormat="1" ht="25.5" x14ac:dyDescent="0.2">
      <c r="A41" s="14" t="s">
        <v>59</v>
      </c>
      <c r="B41" s="15" t="s">
        <v>55</v>
      </c>
      <c r="C41" s="15" t="s">
        <v>60</v>
      </c>
      <c r="D41" s="15" t="s">
        <v>38</v>
      </c>
      <c r="E41" s="1">
        <v>13600</v>
      </c>
      <c r="F41" s="1">
        <v>0</v>
      </c>
    </row>
    <row r="42" spans="1:6" x14ac:dyDescent="0.25">
      <c r="A42" s="12" t="s">
        <v>61</v>
      </c>
      <c r="B42" s="6" t="s">
        <v>55</v>
      </c>
      <c r="C42" s="6" t="s">
        <v>62</v>
      </c>
      <c r="D42" s="6" t="s">
        <v>58</v>
      </c>
      <c r="E42" s="2">
        <v>13600</v>
      </c>
      <c r="F42" s="2">
        <v>0</v>
      </c>
    </row>
    <row r="43" spans="1:6" s="13" customFormat="1" ht="25.5" x14ac:dyDescent="0.2">
      <c r="A43" s="14" t="s">
        <v>63</v>
      </c>
      <c r="B43" s="15" t="s">
        <v>64</v>
      </c>
      <c r="C43" s="15" t="s">
        <v>38</v>
      </c>
      <c r="D43" s="15" t="s">
        <v>38</v>
      </c>
      <c r="E43" s="1">
        <v>0</v>
      </c>
      <c r="F43" s="1">
        <v>36708.199999999997</v>
      </c>
    </row>
    <row r="44" spans="1:6" s="13" customFormat="1" ht="14.25" x14ac:dyDescent="0.2">
      <c r="A44" s="14" t="s">
        <v>65</v>
      </c>
      <c r="B44" s="15" t="s">
        <v>64</v>
      </c>
      <c r="C44" s="15" t="s">
        <v>66</v>
      </c>
      <c r="D44" s="15" t="s">
        <v>38</v>
      </c>
      <c r="E44" s="1">
        <v>0</v>
      </c>
      <c r="F44" s="1">
        <v>36708.199999999997</v>
      </c>
    </row>
    <row r="45" spans="1:6" s="13" customFormat="1" ht="14.25" x14ac:dyDescent="0.2">
      <c r="A45" s="14" t="s">
        <v>67</v>
      </c>
      <c r="B45" s="15" t="s">
        <v>64</v>
      </c>
      <c r="C45" s="15" t="s">
        <v>68</v>
      </c>
      <c r="D45" s="15" t="s">
        <v>38</v>
      </c>
      <c r="E45" s="1">
        <v>0</v>
      </c>
      <c r="F45" s="1">
        <v>36708.199999999997</v>
      </c>
    </row>
    <row r="46" spans="1:6" x14ac:dyDescent="0.25">
      <c r="A46" s="12" t="s">
        <v>69</v>
      </c>
      <c r="B46" s="6" t="s">
        <v>64</v>
      </c>
      <c r="C46" s="6" t="s">
        <v>68</v>
      </c>
      <c r="D46" s="6" t="s">
        <v>46</v>
      </c>
      <c r="E46" s="2">
        <v>0</v>
      </c>
      <c r="F46" s="2">
        <v>36708.199999999997</v>
      </c>
    </row>
    <row r="47" spans="1:6" s="13" customFormat="1" ht="14.25" x14ac:dyDescent="0.2">
      <c r="A47" s="14" t="s">
        <v>70</v>
      </c>
      <c r="B47" s="15" t="s">
        <v>71</v>
      </c>
      <c r="C47" s="15" t="s">
        <v>38</v>
      </c>
      <c r="D47" s="15" t="s">
        <v>38</v>
      </c>
      <c r="E47" s="1">
        <v>1500</v>
      </c>
      <c r="F47" s="1">
        <v>0</v>
      </c>
    </row>
    <row r="48" spans="1:6" s="13" customFormat="1" ht="14.25" x14ac:dyDescent="0.2">
      <c r="A48" s="14" t="s">
        <v>72</v>
      </c>
      <c r="B48" s="15" t="s">
        <v>71</v>
      </c>
      <c r="C48" s="15" t="s">
        <v>49</v>
      </c>
      <c r="D48" s="15" t="s">
        <v>38</v>
      </c>
      <c r="E48" s="1">
        <v>1500</v>
      </c>
      <c r="F48" s="1">
        <v>0</v>
      </c>
    </row>
    <row r="49" spans="1:6" s="13" customFormat="1" ht="14.25" x14ac:dyDescent="0.2">
      <c r="A49" s="14" t="s">
        <v>73</v>
      </c>
      <c r="B49" s="15" t="s">
        <v>71</v>
      </c>
      <c r="C49" s="15" t="s">
        <v>51</v>
      </c>
      <c r="D49" s="15" t="s">
        <v>38</v>
      </c>
      <c r="E49" s="1">
        <v>1500</v>
      </c>
      <c r="F49" s="1">
        <v>0</v>
      </c>
    </row>
    <row r="50" spans="1:6" s="13" customFormat="1" ht="14.25" x14ac:dyDescent="0.2">
      <c r="A50" s="14" t="s">
        <v>72</v>
      </c>
      <c r="B50" s="15" t="s">
        <v>71</v>
      </c>
      <c r="C50" s="15" t="s">
        <v>51</v>
      </c>
      <c r="D50" s="15" t="s">
        <v>46</v>
      </c>
      <c r="E50" s="1">
        <v>1500</v>
      </c>
      <c r="F50" s="1">
        <v>0</v>
      </c>
    </row>
    <row r="51" spans="1:6" x14ac:dyDescent="0.25">
      <c r="A51" s="12" t="s">
        <v>74</v>
      </c>
      <c r="B51" s="6" t="s">
        <v>71</v>
      </c>
      <c r="C51" s="6" t="s">
        <v>51</v>
      </c>
      <c r="D51" s="6" t="s">
        <v>75</v>
      </c>
      <c r="E51" s="2">
        <v>1500</v>
      </c>
      <c r="F51" s="2">
        <v>0</v>
      </c>
    </row>
    <row r="52" spans="1:6" x14ac:dyDescent="0.25">
      <c r="E52" s="10"/>
    </row>
    <row r="54" spans="1:6" x14ac:dyDescent="0.25">
      <c r="A54" s="9" t="s">
        <v>76</v>
      </c>
      <c r="E54" s="36" t="s">
        <v>77</v>
      </c>
      <c r="F54" s="36"/>
    </row>
    <row r="56" spans="1:6" x14ac:dyDescent="0.25">
      <c r="A56" s="9" t="s">
        <v>78</v>
      </c>
      <c r="E56" s="37" t="s">
        <v>79</v>
      </c>
      <c r="F56" s="37"/>
    </row>
  </sheetData>
  <mergeCells count="27">
    <mergeCell ref="A26:F26"/>
    <mergeCell ref="E54:F54"/>
    <mergeCell ref="E56:F56"/>
    <mergeCell ref="A18:E18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9:E19"/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16</vt:i4>
      </vt:variant>
    </vt:vector>
  </HeadingPairs>
  <TitlesOfParts>
    <vt:vector size="17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R_112</vt:lpstr>
      <vt:lpstr>R_113</vt:lpstr>
      <vt:lpstr>R_12</vt:lpstr>
      <vt:lpstr>R_3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2025-05-05T11:17:46Z</dcterms:modified>
</cp:coreProperties>
</file>