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000" tabRatio="805" activeTab="11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4" i="3" l="1"/>
  <c r="E34" i="3"/>
  <c r="E18" i="3"/>
  <c r="F33" i="5" l="1"/>
  <c r="F27" i="5" l="1"/>
  <c r="F39" i="5" l="1"/>
  <c r="F35" i="5"/>
  <c r="F71" i="3"/>
  <c r="E71" i="3"/>
  <c r="F66" i="3"/>
  <c r="E66" i="3"/>
  <c r="F61" i="3"/>
  <c r="E61" i="3"/>
  <c r="E72" i="3" l="1"/>
  <c r="F72" i="3"/>
  <c r="F9" i="5"/>
  <c r="F29" i="5"/>
  <c r="F55" i="3" l="1"/>
  <c r="E55" i="3"/>
  <c r="F50" i="3"/>
  <c r="E50" i="3"/>
  <c r="F45" i="3"/>
  <c r="E45" i="3"/>
  <c r="F56" i="3" l="1"/>
  <c r="E56" i="3"/>
  <c r="F13" i="5"/>
  <c r="F15" i="5"/>
  <c r="F42" i="5" l="1"/>
  <c r="E29" i="3"/>
  <c r="F39" i="3"/>
  <c r="E39" i="3"/>
  <c r="F29" i="3"/>
  <c r="E40" i="3" l="1"/>
  <c r="F11" i="4" l="1"/>
  <c r="E23" i="3" l="1"/>
  <c r="F23" i="3"/>
  <c r="F18" i="3" l="1"/>
  <c r="F13" i="3"/>
  <c r="E13" i="3"/>
  <c r="E24" i="3" l="1"/>
  <c r="F24" i="3"/>
  <c r="F40" i="3" s="1"/>
</calcChain>
</file>

<file path=xl/sharedStrings.xml><?xml version="1.0" encoding="utf-8"?>
<sst xmlns="http://schemas.openxmlformats.org/spreadsheetml/2006/main" count="554" uniqueCount="219">
  <si>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</si>
  <si>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</si>
  <si>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</si>
  <si>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</si>
  <si>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</si>
  <si>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</si>
  <si>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</si>
  <si>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</si>
  <si>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</si>
  <si>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</si>
  <si>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</si>
  <si>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</si>
  <si>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</si>
  <si>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</si>
  <si>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</si>
  <si>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</si>
  <si>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</si>
  <si>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</si>
  <si>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</si>
  <si>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</si>
  <si>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</si>
  <si>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</si>
  <si>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</si>
  <si>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</si>
  <si>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</si>
  <si>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</si>
  <si>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</si>
  <si>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</si>
  <si>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</si>
  <si>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</si>
  <si>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</si>
  <si>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</si>
  <si>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</si>
  <si>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</si>
  <si>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</si>
  <si>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</si>
  <si>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</si>
  <si>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</si>
  <si>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</si>
  <si>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</si>
  <si>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</si>
  <si>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</si>
  <si>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</si>
  <si>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</si>
  <si>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</si>
  <si>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</si>
  <si>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</si>
  <si>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</si>
  <si>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</si>
  <si>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</si>
  <si>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</si>
  <si>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</si>
  <si>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</si>
  <si>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</si>
  <si>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</si>
  <si>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</si>
  <si>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</si>
  <si>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</si>
  <si>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</si>
  <si>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</si>
  <si>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</si>
  <si>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</si>
  <si>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</si>
  <si>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</si>
  <si>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</si>
  <si>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</si>
  <si>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</si>
  <si>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</si>
  <si>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</si>
  <si>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</si>
  <si>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</si>
  <si>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</si>
  <si>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</si>
  <si>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</si>
  <si>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</si>
  <si>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</si>
  <si>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</si>
  <si>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</si>
  <si>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</si>
  <si>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</si>
  <si>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</si>
  <si>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</si>
  <si>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</si>
  <si>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</si>
  <si>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</si>
  <si>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</si>
  <si>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</si>
  <si>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</si>
  <si>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</si>
  <si>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</si>
  <si>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</si>
  <si>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</si>
  <si>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</si>
  <si>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</si>
  <si>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</si>
  <si>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</si>
  <si>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</si>
  <si>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</si>
  <si>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</si>
  <si>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</si>
  <si>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</si>
  <si>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</si>
  <si>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</si>
  <si>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</si>
  <si>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</si>
  <si>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</si>
  <si>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</si>
  <si>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</si>
  <si>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</si>
  <si>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</si>
  <si>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</si>
  <si>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</si>
  <si>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</si>
  <si>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</si>
  <si>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</si>
  <si>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</si>
  <si>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</si>
  <si>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</si>
  <si>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</si>
  <si>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</si>
  <si>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</si>
  <si>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</si>
  <si>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</si>
  <si>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</si>
  <si>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</si>
  <si>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</si>
  <si>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</si>
  <si>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</si>
  <si>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</si>
  <si>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</si>
  <si>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</si>
  <si>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</si>
  <si>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</si>
  <si>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</si>
  <si>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</si>
  <si>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</si>
  <si>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</si>
  <si>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</si>
  <si>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</si>
  <si>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</si>
  <si>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</si>
  <si>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</si>
  <si>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</si>
  <si>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</si>
  <si>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</si>
  <si>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</si>
  <si>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</si>
  <si>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</si>
  <si>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</si>
  <si>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</si>
  <si>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</si>
  <si>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</si>
  <si>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Электрон магазин</t>
  </si>
  <si>
    <t>ming. sum</t>
  </si>
  <si>
    <t>4-chorak</t>
  </si>
  <si>
    <t>1 chorak</t>
  </si>
  <si>
    <t>шт</t>
  </si>
  <si>
    <t>Ручка канцелярская</t>
  </si>
  <si>
    <t>Карандаши простые и цветные с грифелями в твердой оболочке</t>
  </si>
  <si>
    <t>Бумага и изделия из бумаги</t>
  </si>
  <si>
    <t>Бумага для заметок</t>
  </si>
  <si>
    <t>Маркер</t>
  </si>
  <si>
    <t>Ластик</t>
  </si>
  <si>
    <t>Клей</t>
  </si>
  <si>
    <t>Перфофайл</t>
  </si>
  <si>
    <t>BULUNG`UR SHOHAZIMBEK MCHJ</t>
  </si>
  <si>
    <t>POWER MAX GROUP MCHJ</t>
  </si>
  <si>
    <t>ООО UMAKANSUL BUSINESS</t>
  </si>
  <si>
    <t>ООО AZIZBEK KANS-WORLD</t>
  </si>
  <si>
    <t>KANS SHOP MCHJ</t>
  </si>
  <si>
    <t>XOLBOYEVA NILUFARXON OLIMJON QIZI</t>
  </si>
  <si>
    <t>ООО KANS ART SALES</t>
  </si>
  <si>
    <t>309440585</t>
  </si>
  <si>
    <t>307500432</t>
  </si>
  <si>
    <t>303055063</t>
  </si>
  <si>
    <t>307027086</t>
  </si>
  <si>
    <t>307087314</t>
  </si>
  <si>
    <t>306089114</t>
  </si>
  <si>
    <t>641107681</t>
  </si>
  <si>
    <t>241110082757716</t>
  </si>
  <si>
    <t>241110082758327</t>
  </si>
  <si>
    <t>241110082759125</t>
  </si>
  <si>
    <t>241110082759174</t>
  </si>
  <si>
    <t>241110082759177</t>
  </si>
  <si>
    <t>241110082759983</t>
  </si>
  <si>
    <t>241110082760125</t>
  </si>
  <si>
    <t>241110082760320</t>
  </si>
  <si>
    <t>пачк.</t>
  </si>
  <si>
    <t>упак</t>
  </si>
  <si>
    <t>пач</t>
  </si>
  <si>
    <t>Канцелярский набор (настольный органайзер)</t>
  </si>
  <si>
    <t>Папка</t>
  </si>
  <si>
    <t>ЧП SERGELI OBOD DIYOR</t>
  </si>
  <si>
    <t>305000408</t>
  </si>
  <si>
    <t>241110082760602</t>
  </si>
  <si>
    <t>241110082779060</t>
  </si>
  <si>
    <t>241110082760359</t>
  </si>
  <si>
    <t>Скрепки металлические</t>
  </si>
  <si>
    <t>YTT SHARIFOV MUROTALI ERGASHOVICH</t>
  </si>
  <si>
    <t>52007016320042.</t>
  </si>
  <si>
    <t>241110082864069.</t>
  </si>
  <si>
    <r>
      <t xml:space="preserve">Oʻzbekiston Respublikasi Davlat aktivlarini boshqarish agentligi va tasarufidagi budjet tashkilotlari kesimida 2024-yilning </t>
    </r>
    <r>
      <rPr>
        <b/>
        <sz val="14"/>
        <color rgb="FFFF0000"/>
        <rFont val="Times New Roman"/>
        <family val="1"/>
        <charset val="204"/>
      </rPr>
      <t xml:space="preserve">yanvar- sentabr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</si>
  <si>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r>
      <t>Oʻzbekiston Respublikasi Davlat aktivlarini boshqarish agentligi va tasarufidagi budjet tashkilotlarida 2024-yilning</t>
    </r>
    <r>
      <rPr>
        <b/>
        <sz val="14"/>
        <color rgb="FFFF0000"/>
        <rFont val="Times New Roman"/>
        <family val="1"/>
        <charset val="204"/>
      </rPr>
      <t xml:space="preserve"> yanvar- sentabr</t>
    </r>
    <r>
      <rPr>
        <b/>
        <sz val="14"/>
        <color theme="1"/>
        <rFont val="Times New Roman"/>
        <family val="1"/>
        <charset val="204"/>
      </rPr>
      <t xml:space="preserve"> oylarida respublika budjetidan kapital qoʻyilmalar hisobidan amalga oshirilayotgan loyihalarning ijrosi toʻgʻrisida</t>
    </r>
  </si>
  <si>
    <r>
      <t xml:space="preserve">Oʻzbekiston Respublikasi Davlat aktivlarini boshqarish agentligi huzuridagi Davlat mulki obyektlaridan samarali foydalanish markazi tomonidan 2024-yil </t>
    </r>
    <r>
      <rPr>
        <b/>
        <sz val="14"/>
        <color rgb="FFFF0000"/>
        <rFont val="Times New Roman"/>
        <family val="1"/>
        <charset val="204"/>
      </rPr>
      <t>yanvar-sentabr</t>
    </r>
    <r>
      <rPr>
        <b/>
        <sz val="14"/>
        <color theme="1"/>
        <rFont val="Times New Roman"/>
        <family val="1"/>
        <charset val="204"/>
      </rPr>
      <t xml:space="preserve"> oylarida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</si>
  <si>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 tomonidan 2024-yilning </t>
    </r>
    <r>
      <rPr>
        <b/>
        <sz val="14"/>
        <color rgb="FFFF0000"/>
        <rFont val="Times New Roman"/>
        <family val="1"/>
        <charset val="204"/>
      </rPr>
      <t xml:space="preserve">yanvar- sentabr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</si>
  <si>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r>
      <t>Oʻzbekiston Respublikasi Davlat aktivlarini boshqarish agentligi huzuridagi Davlat mulki obyektlaridan samarali foydalanish markazi tomonidan 2024-yil</t>
    </r>
    <r>
      <rPr>
        <b/>
        <sz val="14"/>
        <color rgb="FFFF0000"/>
        <rFont val="Times New Roman"/>
        <family val="1"/>
        <charset val="204"/>
      </rPr>
      <t xml:space="preserve">  yanvar-sentabr </t>
    </r>
    <r>
      <rPr>
        <b/>
        <sz val="14"/>
        <color theme="1"/>
        <rFont val="Times New Roman"/>
        <family val="1"/>
        <charset val="204"/>
      </rPr>
      <t>oylarida kam baholi va tez eskiruvchi buyumlar xarid qilish uchun elektron doʻkon orqali amalga oshirilgan davlat xaridlari toʻgʻrisida</t>
    </r>
  </si>
  <si>
    <r>
      <t xml:space="preserve">Oʻzbekiston Respublikasi Davlat aktivlarini boshqarish agentligi huzuridagi Davlat mulki obyektlaridan samarali foydalanish markazi  tomonidan 2024-yil </t>
    </r>
    <r>
      <rPr>
        <b/>
        <sz val="14"/>
        <color rgb="FFFF0000"/>
        <rFont val="Times New Roman"/>
        <family val="1"/>
        <charset val="204"/>
      </rPr>
      <t xml:space="preserve">yanvar-  sentabr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</si>
  <si>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t>Oʻzbekiston Respublikasi Davlat aktivlarini boshqarish agentligi huzuridagi Davlat mulki obyektlaridan samarali foydalanish markazi tomonidan 2024-yil 1-3 choragida qurilish, rekonstruksiya qilish va taʼmirlash ishlari boʻyicha tanlov (tender)lar oʻtkazilmagan</t>
  </si>
  <si>
    <t>Davlat aktivlarini boshqarish agentligi va tasarufidagi budjet tashkilotlarida 2024-yilning 1-3 choragida respublika budjetidan kapital qoʻyilmalar hisobidan loyihalar amalga oshirilmagan</t>
  </si>
  <si>
    <t>Oʻzbekiston Respublikasi Davlat aktivlarini boshqarish agentligi huzuridagi Davlat mulki obyektlaridan samarali foydalanish markazi  2024-yilning 1-3 choragida  budjetdan mablag ajratilmagan va respublika budjetidan kapital qoʻyilmalar hisobidan loyihalar amalga oshirilmagan</t>
  </si>
  <si>
    <t>1-3 chorak</t>
  </si>
  <si>
    <r>
      <t xml:space="preserve">Oʻzbekiston Respublikasi Davlat aktivlarini boshqarish agentligi huzuridagi Davlat mulki obyektlaridan samarali foydalanish markazi  tomonidan 2024-yilning </t>
    </r>
    <r>
      <rPr>
        <sz val="14"/>
        <color rgb="FFFF0000"/>
        <rFont val="Times New Roman"/>
        <family val="1"/>
        <charset val="204"/>
      </rPr>
      <t xml:space="preserve">1-3 choragida  </t>
    </r>
    <r>
      <rPr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dasturlarida qatnashmagan </t>
    </r>
  </si>
  <si>
    <r>
      <t>Oʻzbekiston Respublikasi Davlat aktivlarini boshqarish agentligi huzuridagi Davlat mulki obyektlaridan samarali foydalanish markazi  tomonidan 2024-yilning</t>
    </r>
    <r>
      <rPr>
        <b/>
        <sz val="14"/>
        <color rgb="FFFF0000"/>
        <rFont val="Times New Roman"/>
        <family val="1"/>
        <charset val="204"/>
      </rPr>
      <t xml:space="preserve"> yanvar- - sentabr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toʻgʻrisidagi </t>
    </r>
  </si>
  <si>
    <r>
      <t xml:space="preserve">Oʻzbekiston Respublikasi Davlat aktivlarini boshqarish agentligi huzuridagi Davlat mulki obyektlaridan samarali foydalanish markazi da 2024-yil </t>
    </r>
    <r>
      <rPr>
        <b/>
        <sz val="14"/>
        <color rgb="FFFF0000"/>
        <rFont val="Times New Roman"/>
        <family val="1"/>
        <charset val="204"/>
      </rPr>
      <t>yanvar- sentabr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</si>
  <si>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2024-yil yanvar- sentabr 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</si>
  <si>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 xml:space="preserve">2024-yil yanvar - sentabr 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</si>
  <si>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2024-yil </t>
    </r>
    <r>
      <rPr>
        <b/>
        <sz val="14"/>
        <color rgb="FFFF0000"/>
        <rFont val="Times New Roman"/>
        <family val="1"/>
        <charset val="204"/>
      </rPr>
      <t>yanvar- sentabr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</si>
  <si>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r>
      <t xml:space="preserve">Oʻzbekiston Respublikasining Davlat moliyaviy nazorat organlari tomonidan 2024-yil </t>
    </r>
    <r>
      <rPr>
        <i/>
        <sz val="14"/>
        <color rgb="FFFF0000"/>
        <rFont val="Times New Roman"/>
        <family val="1"/>
        <charset val="204"/>
      </rPr>
      <t>1-3 choragida</t>
    </r>
    <r>
      <rPr>
        <i/>
        <sz val="14"/>
        <color theme="1"/>
        <rFont val="Times New Roman"/>
        <family val="1"/>
        <charset val="204"/>
      </rPr>
      <t xml:space="preserve"> Oʻzbekiston Respublikasi Davlat aktivlarini boshqarish agentligi huzuridagi Davlat mulki obyektlaridan samarali foydalanish markazi da nazorat tadbirlari oʻtkazilmagan</t>
    </r>
  </si>
  <si>
    <r>
      <t>2024-yil</t>
    </r>
    <r>
      <rPr>
        <b/>
        <sz val="14"/>
        <color rgb="FFFF0000"/>
        <rFont val="Times New Roman"/>
        <family val="1"/>
        <charset val="204"/>
      </rPr>
      <t xml:space="preserve"> yanvar--sentabr 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</si>
</sst>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rgb="FF212529"/>
      <name val="Golo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right" vertical="top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2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7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B12" sqref="B12"/>
    </sheetView>
  </sheetViews>
  <sheetFormatPr defaultRowHeight="18.75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>
      <c r="G1" s="3" t="s">
        <v>20</v>
      </c>
    </row>
    <row r="2" spans="1:9" ht="70.5" customHeight="1">
      <c r="A2" s="63" t="s">
        <v>201</v>
      </c>
      <c r="B2" s="63"/>
      <c r="C2" s="63"/>
      <c r="D2" s="63"/>
      <c r="E2" s="63"/>
      <c r="F2" s="63"/>
      <c r="G2" s="63"/>
    </row>
    <row r="3" spans="1:9">
      <c r="A3" s="64" t="s">
        <v>21</v>
      </c>
      <c r="B3" s="64"/>
      <c r="C3" s="64"/>
      <c r="D3" s="64"/>
      <c r="E3" s="64"/>
      <c r="F3" s="64"/>
      <c r="G3" s="64"/>
    </row>
    <row r="4" spans="1:9">
      <c r="G4" s="5" t="s">
        <v>146</v>
      </c>
    </row>
    <row r="5" spans="1:9" ht="45" customHeight="1">
      <c r="A5" s="65" t="s">
        <v>22</v>
      </c>
      <c r="B5" s="65" t="s">
        <v>29</v>
      </c>
      <c r="C5" s="65" t="s">
        <v>30</v>
      </c>
      <c r="D5" s="65"/>
      <c r="E5" s="65"/>
      <c r="F5" s="65"/>
      <c r="G5" s="65"/>
    </row>
    <row r="6" spans="1:9" ht="34.5" customHeight="1">
      <c r="A6" s="65"/>
      <c r="B6" s="65"/>
      <c r="C6" s="65" t="s">
        <v>23</v>
      </c>
      <c r="D6" s="65" t="s">
        <v>24</v>
      </c>
      <c r="E6" s="65"/>
      <c r="F6" s="65"/>
      <c r="G6" s="65"/>
    </row>
    <row r="7" spans="1:9" ht="131.25">
      <c r="A7" s="65"/>
      <c r="B7" s="65"/>
      <c r="C7" s="65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>
      <c r="A10" s="19" t="s">
        <v>40</v>
      </c>
      <c r="B10" s="62" t="s">
        <v>209</v>
      </c>
      <c r="C10" s="62"/>
      <c r="D10" s="62"/>
      <c r="E10" s="62"/>
      <c r="F10" s="62"/>
      <c r="G10" s="62"/>
      <c r="H10" s="18"/>
      <c r="I10" s="18"/>
    </row>
    <row r="11" spans="1:9">
      <c r="B11" s="62"/>
      <c r="C11" s="62"/>
      <c r="D11" s="62"/>
      <c r="E11" s="62"/>
      <c r="F11" s="62"/>
      <c r="G11" s="62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B10" sqref="B10"/>
    </sheetView>
  </sheetViews>
  <sheetFormatPr defaultRowHeight="18.75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>
      <c r="I1" s="3" t="s">
        <v>0</v>
      </c>
    </row>
    <row r="2" spans="1:9" ht="58.5" customHeight="1">
      <c r="A2" s="63" t="s">
        <v>202</v>
      </c>
      <c r="B2" s="63"/>
      <c r="C2" s="63"/>
      <c r="D2" s="63"/>
      <c r="E2" s="63"/>
      <c r="F2" s="63"/>
      <c r="G2" s="63"/>
      <c r="H2" s="63"/>
      <c r="I2" s="63"/>
    </row>
    <row r="3" spans="1:9">
      <c r="A3" s="64" t="s">
        <v>21</v>
      </c>
      <c r="B3" s="64"/>
      <c r="C3" s="64"/>
      <c r="D3" s="64"/>
      <c r="E3" s="64"/>
      <c r="F3" s="64"/>
      <c r="G3" s="64"/>
      <c r="H3" s="64"/>
      <c r="I3" s="64"/>
    </row>
    <row r="5" spans="1:9">
      <c r="A5" s="65" t="s">
        <v>22</v>
      </c>
      <c r="B5" s="65" t="s">
        <v>31</v>
      </c>
      <c r="C5" s="65" t="s">
        <v>32</v>
      </c>
      <c r="D5" s="65" t="s">
        <v>33</v>
      </c>
      <c r="E5" s="65" t="s">
        <v>34</v>
      </c>
      <c r="F5" s="65" t="s">
        <v>35</v>
      </c>
      <c r="G5" s="65"/>
      <c r="H5" s="66" t="s">
        <v>36</v>
      </c>
      <c r="I5" s="66" t="s">
        <v>37</v>
      </c>
    </row>
    <row r="6" spans="1:9" ht="37.5">
      <c r="A6" s="65"/>
      <c r="B6" s="65"/>
      <c r="C6" s="65"/>
      <c r="D6" s="65"/>
      <c r="E6" s="65"/>
      <c r="F6" s="7" t="s">
        <v>38</v>
      </c>
      <c r="G6" s="7" t="s">
        <v>39</v>
      </c>
      <c r="H6" s="67"/>
      <c r="I6" s="67"/>
    </row>
    <row r="7" spans="1:9" ht="93.75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>
      <c r="A9" s="19" t="s">
        <v>40</v>
      </c>
      <c r="B9" s="62" t="s">
        <v>208</v>
      </c>
      <c r="C9" s="62"/>
      <c r="D9" s="62"/>
      <c r="E9" s="62"/>
      <c r="F9" s="62"/>
      <c r="G9" s="62"/>
      <c r="H9" s="62"/>
      <c r="I9" s="62"/>
    </row>
    <row r="10" spans="1:9">
      <c r="B10" s="18"/>
      <c r="C10" s="18"/>
      <c r="D10" s="18"/>
      <c r="E10" s="18"/>
      <c r="F10" s="18"/>
      <c r="G10" s="18"/>
      <c r="H10" s="18"/>
      <c r="I10" s="18"/>
    </row>
    <row r="11" spans="1:9">
      <c r="B11" s="18"/>
      <c r="C11" s="18"/>
      <c r="D11" s="18"/>
      <c r="E11" s="18"/>
      <c r="F11" s="18"/>
      <c r="G11" s="18"/>
      <c r="H11" s="18"/>
      <c r="I11" s="18"/>
    </row>
    <row r="12" spans="1:9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72"/>
  <sheetViews>
    <sheetView zoomScale="85" zoomScaleNormal="85" workbookViewId="0">
      <pane xSplit="3" ySplit="8" topLeftCell="D33" activePane="bottomRight" state="frozen"/>
      <selection pane="topRight" activeCell="C1" sqref="C1"/>
      <selection pane="bottomLeft" activeCell="A8" sqref="A8"/>
      <selection pane="bottomRight" activeCell="F31" sqref="F31"/>
    </sheetView>
  </sheetViews>
  <sheetFormatPr defaultRowHeight="18.75"/>
  <cols>
    <col min="1" max="1" width="2.28515625" style="1" customWidth="1"/>
    <col min="2" max="2" width="6.5703125" style="1" customWidth="1"/>
    <col min="3" max="3" width="15" style="1" customWidth="1"/>
    <col min="4" max="4" width="53.7109375" style="1" customWidth="1"/>
    <col min="5" max="5" width="19.42578125" style="1" customWidth="1"/>
    <col min="6" max="6" width="24.5703125" style="1" customWidth="1"/>
    <col min="7" max="7" width="27.28515625" style="1" customWidth="1"/>
    <col min="8" max="12" width="9.140625" style="1"/>
    <col min="13" max="13" width="9.140625" style="1" customWidth="1"/>
    <col min="14" max="16384" width="9.140625" style="1"/>
  </cols>
  <sheetData>
    <row r="1" spans="2:7">
      <c r="G1" s="3" t="s">
        <v>1</v>
      </c>
    </row>
    <row r="3" spans="2:7" ht="18.75" customHeight="1">
      <c r="B3" s="63" t="s">
        <v>203</v>
      </c>
      <c r="C3" s="63"/>
      <c r="D3" s="63"/>
      <c r="E3" s="63"/>
      <c r="F3" s="63"/>
      <c r="G3" s="63"/>
    </row>
    <row r="4" spans="2:7" ht="39" customHeight="1">
      <c r="B4" s="63"/>
      <c r="C4" s="63"/>
      <c r="D4" s="63"/>
      <c r="E4" s="63"/>
      <c r="F4" s="63"/>
      <c r="G4" s="63"/>
    </row>
    <row r="5" spans="2:7">
      <c r="B5" s="64" t="s">
        <v>21</v>
      </c>
      <c r="C5" s="64"/>
      <c r="D5" s="64"/>
      <c r="E5" s="64"/>
      <c r="F5" s="64"/>
      <c r="G5" s="64"/>
    </row>
    <row r="6" spans="2:7">
      <c r="G6" s="47" t="s">
        <v>153</v>
      </c>
    </row>
    <row r="7" spans="2:7">
      <c r="B7" s="65" t="s">
        <v>22</v>
      </c>
      <c r="C7" s="65" t="s">
        <v>41</v>
      </c>
      <c r="D7" s="65" t="s">
        <v>42</v>
      </c>
      <c r="E7" s="65" t="s">
        <v>43</v>
      </c>
      <c r="F7" s="65"/>
      <c r="G7" s="66" t="s">
        <v>44</v>
      </c>
    </row>
    <row r="8" spans="2:7">
      <c r="B8" s="65"/>
      <c r="C8" s="65"/>
      <c r="D8" s="65"/>
      <c r="E8" s="7" t="s">
        <v>45</v>
      </c>
      <c r="F8" s="7" t="s">
        <v>46</v>
      </c>
      <c r="G8" s="67"/>
    </row>
    <row r="9" spans="2:7" hidden="1">
      <c r="B9" s="68">
        <v>1</v>
      </c>
      <c r="C9" s="68" t="s">
        <v>47</v>
      </c>
      <c r="D9" s="10" t="s">
        <v>48</v>
      </c>
      <c r="E9" s="6">
        <v>0</v>
      </c>
      <c r="F9" s="20">
        <v>0</v>
      </c>
      <c r="G9" s="68" t="s">
        <v>55</v>
      </c>
    </row>
    <row r="10" spans="2:7" ht="37.5" hidden="1">
      <c r="B10" s="69"/>
      <c r="C10" s="69"/>
      <c r="D10" s="10" t="s">
        <v>49</v>
      </c>
      <c r="E10" s="6">
        <v>0</v>
      </c>
      <c r="F10" s="20">
        <v>0</v>
      </c>
      <c r="G10" s="69"/>
    </row>
    <row r="11" spans="2:7" hidden="1">
      <c r="B11" s="69"/>
      <c r="C11" s="69"/>
      <c r="D11" s="10" t="s">
        <v>50</v>
      </c>
      <c r="E11" s="6">
        <v>0</v>
      </c>
      <c r="F11" s="20">
        <v>0</v>
      </c>
      <c r="G11" s="69"/>
    </row>
    <row r="12" spans="2:7" hidden="1">
      <c r="B12" s="69"/>
      <c r="C12" s="69"/>
      <c r="D12" s="10" t="s">
        <v>51</v>
      </c>
      <c r="E12" s="6">
        <v>0</v>
      </c>
      <c r="F12" s="20">
        <v>0</v>
      </c>
      <c r="G12" s="69"/>
    </row>
    <row r="13" spans="2:7" hidden="1">
      <c r="B13" s="69"/>
      <c r="C13" s="69"/>
      <c r="D13" s="7" t="s">
        <v>23</v>
      </c>
      <c r="E13" s="8">
        <f>SUM(E9:E12)</f>
        <v>0</v>
      </c>
      <c r="F13" s="21">
        <f>SUM(F9:F12)</f>
        <v>0</v>
      </c>
      <c r="G13" s="70"/>
    </row>
    <row r="14" spans="2:7">
      <c r="B14" s="69"/>
      <c r="C14" s="69"/>
      <c r="D14" s="10" t="s">
        <v>48</v>
      </c>
      <c r="E14" s="6">
        <v>0</v>
      </c>
      <c r="F14" s="20">
        <v>0</v>
      </c>
      <c r="G14" s="68" t="s">
        <v>56</v>
      </c>
    </row>
    <row r="15" spans="2:7" ht="37.5">
      <c r="B15" s="69"/>
      <c r="C15" s="69"/>
      <c r="D15" s="10" t="s">
        <v>49</v>
      </c>
      <c r="E15" s="56">
        <v>0</v>
      </c>
      <c r="F15" s="57">
        <v>0</v>
      </c>
      <c r="G15" s="69"/>
    </row>
    <row r="16" spans="2:7">
      <c r="B16" s="69"/>
      <c r="C16" s="69"/>
      <c r="D16" s="10" t="s">
        <v>50</v>
      </c>
      <c r="E16" s="56">
        <v>0</v>
      </c>
      <c r="F16" s="57">
        <v>0</v>
      </c>
      <c r="G16" s="69"/>
    </row>
    <row r="17" spans="2:7">
      <c r="B17" s="69"/>
      <c r="C17" s="69"/>
      <c r="D17" s="10" t="s">
        <v>51</v>
      </c>
      <c r="E17" s="56">
        <v>0</v>
      </c>
      <c r="F17" s="57">
        <v>474317.89999999997</v>
      </c>
      <c r="G17" s="69"/>
    </row>
    <row r="18" spans="2:7">
      <c r="B18" s="69"/>
      <c r="C18" s="69"/>
      <c r="D18" s="59" t="s">
        <v>23</v>
      </c>
      <c r="E18" s="55">
        <f>SUM(E14:E17)</f>
        <v>0</v>
      </c>
      <c r="F18" s="55">
        <f>SUM(F14:F17)</f>
        <v>474317.89999999997</v>
      </c>
      <c r="G18" s="70"/>
    </row>
    <row r="19" spans="2:7">
      <c r="B19" s="69"/>
      <c r="C19" s="69"/>
      <c r="D19" s="10" t="s">
        <v>48</v>
      </c>
      <c r="E19" s="56">
        <v>0</v>
      </c>
      <c r="F19" s="57">
        <v>0</v>
      </c>
      <c r="G19" s="71" t="s">
        <v>52</v>
      </c>
    </row>
    <row r="20" spans="2:7" ht="37.5">
      <c r="B20" s="69"/>
      <c r="C20" s="69"/>
      <c r="D20" s="10" t="s">
        <v>49</v>
      </c>
      <c r="E20" s="56">
        <v>0</v>
      </c>
      <c r="F20" s="57">
        <v>0</v>
      </c>
      <c r="G20" s="72"/>
    </row>
    <row r="21" spans="2:7">
      <c r="B21" s="69"/>
      <c r="C21" s="69"/>
      <c r="D21" s="10" t="s">
        <v>50</v>
      </c>
      <c r="E21" s="56">
        <v>0</v>
      </c>
      <c r="F21" s="57">
        <v>0</v>
      </c>
      <c r="G21" s="72"/>
    </row>
    <row r="22" spans="2:7">
      <c r="B22" s="69"/>
      <c r="C22" s="69"/>
      <c r="D22" s="10" t="s">
        <v>51</v>
      </c>
      <c r="E22" s="56">
        <v>0</v>
      </c>
      <c r="F22" s="57">
        <v>16748.7</v>
      </c>
      <c r="G22" s="72"/>
    </row>
    <row r="23" spans="2:7">
      <c r="B23" s="69"/>
      <c r="C23" s="69"/>
      <c r="D23" s="59" t="s">
        <v>23</v>
      </c>
      <c r="E23" s="58">
        <f>SUM(E19:E22)</f>
        <v>0</v>
      </c>
      <c r="F23" s="55">
        <f>SUM(F19:F22)</f>
        <v>16748.7</v>
      </c>
      <c r="G23" s="72"/>
    </row>
    <row r="24" spans="2:7">
      <c r="B24" s="70"/>
      <c r="C24" s="70"/>
      <c r="D24" s="59" t="s">
        <v>53</v>
      </c>
      <c r="E24" s="58">
        <f>E13+E18+E23</f>
        <v>0</v>
      </c>
      <c r="F24" s="55">
        <f>F13+F18+F23</f>
        <v>491066.6</v>
      </c>
      <c r="G24" s="2" t="s">
        <v>54</v>
      </c>
    </row>
    <row r="25" spans="2:7" hidden="1">
      <c r="B25" s="68">
        <v>2</v>
      </c>
      <c r="C25" s="68" t="s">
        <v>147</v>
      </c>
      <c r="D25" s="10" t="s">
        <v>48</v>
      </c>
      <c r="E25" s="56">
        <v>0</v>
      </c>
      <c r="F25" s="57">
        <v>0</v>
      </c>
      <c r="G25" s="68" t="s">
        <v>55</v>
      </c>
    </row>
    <row r="26" spans="2:7" ht="37.5" hidden="1">
      <c r="B26" s="69"/>
      <c r="C26" s="69"/>
      <c r="D26" s="10" t="s">
        <v>49</v>
      </c>
      <c r="E26" s="56">
        <v>0</v>
      </c>
      <c r="F26" s="57">
        <v>0</v>
      </c>
      <c r="G26" s="69"/>
    </row>
    <row r="27" spans="2:7" hidden="1">
      <c r="B27" s="69"/>
      <c r="C27" s="69"/>
      <c r="D27" s="10" t="s">
        <v>50</v>
      </c>
      <c r="E27" s="56">
        <v>0</v>
      </c>
      <c r="F27" s="57">
        <v>0</v>
      </c>
      <c r="G27" s="69"/>
    </row>
    <row r="28" spans="2:7" hidden="1">
      <c r="B28" s="69"/>
      <c r="C28" s="69"/>
      <c r="D28" s="10" t="s">
        <v>51</v>
      </c>
      <c r="E28" s="56">
        <v>0</v>
      </c>
      <c r="F28" s="57">
        <v>0</v>
      </c>
      <c r="G28" s="69"/>
    </row>
    <row r="29" spans="2:7" hidden="1">
      <c r="B29" s="69"/>
      <c r="C29" s="69"/>
      <c r="D29" s="7" t="s">
        <v>23</v>
      </c>
      <c r="E29" s="56">
        <f>SUM(E26:E28)</f>
        <v>0</v>
      </c>
      <c r="F29" s="57">
        <f>SUM(F25:F28)</f>
        <v>0</v>
      </c>
      <c r="G29" s="70"/>
    </row>
    <row r="30" spans="2:7">
      <c r="B30" s="69"/>
      <c r="C30" s="69"/>
      <c r="D30" s="10" t="s">
        <v>48</v>
      </c>
      <c r="E30" s="56">
        <v>5</v>
      </c>
      <c r="F30" s="57">
        <v>63530</v>
      </c>
      <c r="G30" s="68" t="s">
        <v>56</v>
      </c>
    </row>
    <row r="31" spans="2:7" ht="37.5">
      <c r="B31" s="69"/>
      <c r="C31" s="69"/>
      <c r="D31" s="10" t="s">
        <v>49</v>
      </c>
      <c r="E31" s="56">
        <v>573</v>
      </c>
      <c r="F31" s="57">
        <v>10622.4</v>
      </c>
      <c r="G31" s="69"/>
    </row>
    <row r="32" spans="2:7">
      <c r="B32" s="69"/>
      <c r="C32" s="69"/>
      <c r="D32" s="10" t="s">
        <v>50</v>
      </c>
      <c r="E32" s="56">
        <v>0</v>
      </c>
      <c r="F32" s="57">
        <v>0</v>
      </c>
      <c r="G32" s="69"/>
    </row>
    <row r="33" spans="2:7">
      <c r="B33" s="69"/>
      <c r="C33" s="69"/>
      <c r="D33" s="10" t="s">
        <v>51</v>
      </c>
      <c r="E33" s="56">
        <v>0</v>
      </c>
      <c r="F33" s="57">
        <v>571096.09999999986</v>
      </c>
      <c r="G33" s="69"/>
    </row>
    <row r="34" spans="2:7">
      <c r="B34" s="69"/>
      <c r="C34" s="69"/>
      <c r="D34" s="59" t="s">
        <v>23</v>
      </c>
      <c r="E34" s="58">
        <f>SUM(E30:E33)</f>
        <v>578</v>
      </c>
      <c r="F34" s="55">
        <f>SUM(F30:F33)</f>
        <v>645248.49999999988</v>
      </c>
      <c r="G34" s="70"/>
    </row>
    <row r="35" spans="2:7">
      <c r="B35" s="69"/>
      <c r="C35" s="69"/>
      <c r="D35" s="10" t="s">
        <v>48</v>
      </c>
      <c r="E35" s="56">
        <v>2</v>
      </c>
      <c r="F35" s="57">
        <v>724028</v>
      </c>
      <c r="G35" s="71" t="s">
        <v>52</v>
      </c>
    </row>
    <row r="36" spans="2:7" ht="37.5">
      <c r="B36" s="69"/>
      <c r="C36" s="69"/>
      <c r="D36" s="10" t="s">
        <v>49</v>
      </c>
      <c r="E36" s="56">
        <v>0</v>
      </c>
      <c r="F36" s="57">
        <v>0</v>
      </c>
      <c r="G36" s="72"/>
    </row>
    <row r="37" spans="2:7">
      <c r="B37" s="69"/>
      <c r="C37" s="69"/>
      <c r="D37" s="10" t="s">
        <v>50</v>
      </c>
      <c r="E37" s="56">
        <v>0</v>
      </c>
      <c r="F37" s="57">
        <v>0</v>
      </c>
      <c r="G37" s="72"/>
    </row>
    <row r="38" spans="2:7">
      <c r="B38" s="69"/>
      <c r="C38" s="69"/>
      <c r="D38" s="10" t="s">
        <v>51</v>
      </c>
      <c r="E38" s="56">
        <v>0</v>
      </c>
      <c r="F38" s="57">
        <v>58470.3</v>
      </c>
      <c r="G38" s="72"/>
    </row>
    <row r="39" spans="2:7">
      <c r="B39" s="69"/>
      <c r="C39" s="69"/>
      <c r="D39" s="59" t="s">
        <v>23</v>
      </c>
      <c r="E39" s="58">
        <f>SUM(E35:E38)</f>
        <v>2</v>
      </c>
      <c r="F39" s="55">
        <f>SUM(F35:F38)</f>
        <v>782498.3</v>
      </c>
      <c r="G39" s="72"/>
    </row>
    <row r="40" spans="2:7">
      <c r="B40" s="70"/>
      <c r="C40" s="70"/>
      <c r="D40" s="59" t="s">
        <v>53</v>
      </c>
      <c r="E40" s="58">
        <f>E29+E34+E39</f>
        <v>580</v>
      </c>
      <c r="F40" s="55">
        <f>F29+F34+F39</f>
        <v>1427746.7999999998</v>
      </c>
      <c r="G40" s="2" t="s">
        <v>54</v>
      </c>
    </row>
    <row r="41" spans="2:7" hidden="1">
      <c r="B41" s="68">
        <v>2</v>
      </c>
      <c r="C41" s="68" t="s">
        <v>150</v>
      </c>
      <c r="D41" s="10" t="s">
        <v>48</v>
      </c>
      <c r="E41" s="56">
        <v>0</v>
      </c>
      <c r="F41" s="57">
        <v>0</v>
      </c>
      <c r="G41" s="68" t="s">
        <v>55</v>
      </c>
    </row>
    <row r="42" spans="2:7" ht="37.5" hidden="1">
      <c r="B42" s="69"/>
      <c r="C42" s="69"/>
      <c r="D42" s="10" t="s">
        <v>49</v>
      </c>
      <c r="E42" s="56">
        <v>0</v>
      </c>
      <c r="F42" s="57">
        <v>0</v>
      </c>
      <c r="G42" s="69"/>
    </row>
    <row r="43" spans="2:7" hidden="1">
      <c r="B43" s="69"/>
      <c r="C43" s="69"/>
      <c r="D43" s="10" t="s">
        <v>50</v>
      </c>
      <c r="E43" s="56">
        <v>0</v>
      </c>
      <c r="F43" s="57">
        <v>0</v>
      </c>
      <c r="G43" s="69"/>
    </row>
    <row r="44" spans="2:7" hidden="1">
      <c r="B44" s="69"/>
      <c r="C44" s="69"/>
      <c r="D44" s="10" t="s">
        <v>51</v>
      </c>
      <c r="E44" s="56">
        <v>0</v>
      </c>
      <c r="F44" s="57">
        <v>0</v>
      </c>
      <c r="G44" s="69"/>
    </row>
    <row r="45" spans="2:7" hidden="1">
      <c r="B45" s="69"/>
      <c r="C45" s="69"/>
      <c r="D45" s="7" t="s">
        <v>23</v>
      </c>
      <c r="E45" s="56">
        <f>SUM(E42:E44)</f>
        <v>0</v>
      </c>
      <c r="F45" s="57">
        <f>SUM(F41:F44)</f>
        <v>0</v>
      </c>
      <c r="G45" s="70"/>
    </row>
    <row r="46" spans="2:7">
      <c r="B46" s="69"/>
      <c r="C46" s="69"/>
      <c r="D46" s="10" t="s">
        <v>48</v>
      </c>
      <c r="E46" s="56">
        <v>18</v>
      </c>
      <c r="F46" s="57">
        <v>218268</v>
      </c>
      <c r="G46" s="68" t="s">
        <v>56</v>
      </c>
    </row>
    <row r="47" spans="2:7" ht="37.5">
      <c r="B47" s="69"/>
      <c r="C47" s="69"/>
      <c r="D47" s="10" t="s">
        <v>49</v>
      </c>
      <c r="E47" s="56">
        <v>210</v>
      </c>
      <c r="F47" s="61">
        <v>1493.3</v>
      </c>
      <c r="G47" s="69"/>
    </row>
    <row r="48" spans="2:7">
      <c r="B48" s="69"/>
      <c r="C48" s="69"/>
      <c r="D48" s="10" t="s">
        <v>50</v>
      </c>
      <c r="E48" s="56"/>
      <c r="F48" s="57"/>
      <c r="G48" s="69"/>
    </row>
    <row r="49" spans="2:7">
      <c r="B49" s="69"/>
      <c r="C49" s="69"/>
      <c r="D49" s="10" t="s">
        <v>51</v>
      </c>
      <c r="E49" s="56"/>
      <c r="F49" s="57">
        <v>148919.5</v>
      </c>
      <c r="G49" s="69"/>
    </row>
    <row r="50" spans="2:7">
      <c r="B50" s="69"/>
      <c r="C50" s="69"/>
      <c r="D50" s="59" t="s">
        <v>23</v>
      </c>
      <c r="E50" s="58">
        <f>SUM(E46:E49)</f>
        <v>228</v>
      </c>
      <c r="F50" s="55">
        <f>SUM(F46:F49)</f>
        <v>368680.8</v>
      </c>
      <c r="G50" s="70"/>
    </row>
    <row r="51" spans="2:7">
      <c r="B51" s="69"/>
      <c r="C51" s="69"/>
      <c r="D51" s="10" t="s">
        <v>48</v>
      </c>
      <c r="E51" s="56">
        <v>0</v>
      </c>
      <c r="F51" s="57">
        <v>0</v>
      </c>
      <c r="G51" s="71" t="s">
        <v>52</v>
      </c>
    </row>
    <row r="52" spans="2:7" ht="37.5">
      <c r="B52" s="69"/>
      <c r="C52" s="69"/>
      <c r="D52" s="10" t="s">
        <v>49</v>
      </c>
      <c r="E52" s="56">
        <v>0</v>
      </c>
      <c r="F52" s="57">
        <v>0</v>
      </c>
      <c r="G52" s="72"/>
    </row>
    <row r="53" spans="2:7">
      <c r="B53" s="69"/>
      <c r="C53" s="69"/>
      <c r="D53" s="10" t="s">
        <v>50</v>
      </c>
      <c r="E53" s="56">
        <v>0</v>
      </c>
      <c r="F53" s="57">
        <v>0</v>
      </c>
      <c r="G53" s="72"/>
    </row>
    <row r="54" spans="2:7">
      <c r="B54" s="69"/>
      <c r="C54" s="69"/>
      <c r="D54" s="10" t="s">
        <v>51</v>
      </c>
      <c r="E54" s="56">
        <v>0</v>
      </c>
      <c r="F54" s="57">
        <v>2410.5</v>
      </c>
      <c r="G54" s="72"/>
    </row>
    <row r="55" spans="2:7">
      <c r="B55" s="69"/>
      <c r="C55" s="69"/>
      <c r="D55" s="7" t="s">
        <v>23</v>
      </c>
      <c r="E55" s="8">
        <f>SUM(E51:E54)</f>
        <v>0</v>
      </c>
      <c r="F55" s="21">
        <f>SUM(F51:F54)</f>
        <v>2410.5</v>
      </c>
      <c r="G55" s="72"/>
    </row>
    <row r="56" spans="2:7">
      <c r="B56" s="70"/>
      <c r="C56" s="70"/>
      <c r="D56" s="7" t="s">
        <v>53</v>
      </c>
      <c r="E56" s="8">
        <f>E45+E50+E55</f>
        <v>228</v>
      </c>
      <c r="F56" s="21">
        <f>F45+F50+F55</f>
        <v>371091.3</v>
      </c>
      <c r="G56" s="2" t="s">
        <v>54</v>
      </c>
    </row>
    <row r="57" spans="2:7" hidden="1">
      <c r="B57" s="68">
        <v>2</v>
      </c>
      <c r="C57" s="68" t="s">
        <v>154</v>
      </c>
      <c r="D57" s="10" t="s">
        <v>48</v>
      </c>
      <c r="E57" s="6">
        <v>0</v>
      </c>
      <c r="F57" s="20">
        <v>0</v>
      </c>
      <c r="G57" s="68" t="s">
        <v>55</v>
      </c>
    </row>
    <row r="58" spans="2:7" ht="37.5" hidden="1">
      <c r="B58" s="69"/>
      <c r="C58" s="69"/>
      <c r="D58" s="10" t="s">
        <v>49</v>
      </c>
      <c r="E58" s="6">
        <v>0</v>
      </c>
      <c r="F58" s="20">
        <v>0</v>
      </c>
      <c r="G58" s="69"/>
    </row>
    <row r="59" spans="2:7" hidden="1">
      <c r="B59" s="69"/>
      <c r="C59" s="69"/>
      <c r="D59" s="10" t="s">
        <v>50</v>
      </c>
      <c r="E59" s="6">
        <v>0</v>
      </c>
      <c r="F59" s="20">
        <v>0</v>
      </c>
      <c r="G59" s="69"/>
    </row>
    <row r="60" spans="2:7" hidden="1">
      <c r="B60" s="69"/>
      <c r="C60" s="69"/>
      <c r="D60" s="10" t="s">
        <v>51</v>
      </c>
      <c r="E60" s="6">
        <v>0</v>
      </c>
      <c r="F60" s="20">
        <v>0</v>
      </c>
      <c r="G60" s="69"/>
    </row>
    <row r="61" spans="2:7" hidden="1">
      <c r="B61" s="69"/>
      <c r="C61" s="69"/>
      <c r="D61" s="7" t="s">
        <v>23</v>
      </c>
      <c r="E61" s="8">
        <f>SUM(E58:E60)</f>
        <v>0</v>
      </c>
      <c r="F61" s="21">
        <f>SUM(F57:F60)</f>
        <v>0</v>
      </c>
      <c r="G61" s="70"/>
    </row>
    <row r="62" spans="2:7" hidden="1">
      <c r="B62" s="69"/>
      <c r="C62" s="69"/>
      <c r="D62" s="10" t="s">
        <v>48</v>
      </c>
      <c r="E62" s="6">
        <v>0</v>
      </c>
      <c r="F62" s="20">
        <v>0</v>
      </c>
      <c r="G62" s="68" t="s">
        <v>56</v>
      </c>
    </row>
    <row r="63" spans="2:7" ht="37.5" hidden="1">
      <c r="B63" s="69"/>
      <c r="C63" s="69"/>
      <c r="D63" s="10" t="s">
        <v>49</v>
      </c>
      <c r="E63" s="6">
        <v>0</v>
      </c>
      <c r="F63" s="20">
        <v>0</v>
      </c>
      <c r="G63" s="69"/>
    </row>
    <row r="64" spans="2:7" hidden="1">
      <c r="B64" s="69"/>
      <c r="C64" s="69"/>
      <c r="D64" s="10" t="s">
        <v>50</v>
      </c>
      <c r="E64" s="6">
        <v>0</v>
      </c>
      <c r="F64" s="20">
        <v>0</v>
      </c>
      <c r="G64" s="69"/>
    </row>
    <row r="65" spans="2:7" hidden="1">
      <c r="B65" s="69"/>
      <c r="C65" s="69"/>
      <c r="D65" s="10" t="s">
        <v>51</v>
      </c>
      <c r="E65" s="6">
        <v>0</v>
      </c>
      <c r="F65" s="20">
        <v>0</v>
      </c>
      <c r="G65" s="69"/>
    </row>
    <row r="66" spans="2:7" hidden="1">
      <c r="B66" s="69"/>
      <c r="C66" s="69"/>
      <c r="D66" s="7" t="s">
        <v>23</v>
      </c>
      <c r="E66" s="8">
        <f>SUM(E62:E65)</f>
        <v>0</v>
      </c>
      <c r="F66" s="21">
        <f>SUM(F62:F65)</f>
        <v>0</v>
      </c>
      <c r="G66" s="70"/>
    </row>
    <row r="67" spans="2:7" hidden="1">
      <c r="B67" s="69"/>
      <c r="C67" s="69"/>
      <c r="D67" s="10" t="s">
        <v>48</v>
      </c>
      <c r="E67" s="6">
        <v>0</v>
      </c>
      <c r="F67" s="20">
        <v>0</v>
      </c>
      <c r="G67" s="68" t="s">
        <v>52</v>
      </c>
    </row>
    <row r="68" spans="2:7" ht="37.5" hidden="1">
      <c r="B68" s="69"/>
      <c r="C68" s="69"/>
      <c r="D68" s="10" t="s">
        <v>49</v>
      </c>
      <c r="E68" s="6">
        <v>0</v>
      </c>
      <c r="F68" s="20">
        <v>0</v>
      </c>
      <c r="G68" s="69"/>
    </row>
    <row r="69" spans="2:7" hidden="1">
      <c r="B69" s="69"/>
      <c r="C69" s="69"/>
      <c r="D69" s="10" t="s">
        <v>50</v>
      </c>
      <c r="E69" s="6">
        <v>0</v>
      </c>
      <c r="F69" s="20">
        <v>0</v>
      </c>
      <c r="G69" s="69"/>
    </row>
    <row r="70" spans="2:7" hidden="1">
      <c r="B70" s="69"/>
      <c r="C70" s="69"/>
      <c r="D70" s="10" t="s">
        <v>51</v>
      </c>
      <c r="E70" s="6">
        <v>0</v>
      </c>
      <c r="F70" s="20">
        <v>0</v>
      </c>
      <c r="G70" s="69"/>
    </row>
    <row r="71" spans="2:7" hidden="1">
      <c r="B71" s="69"/>
      <c r="C71" s="69"/>
      <c r="D71" s="7" t="s">
        <v>23</v>
      </c>
      <c r="E71" s="8">
        <f>SUM(E67:E70)</f>
        <v>0</v>
      </c>
      <c r="F71" s="21">
        <f>SUM(F67:F70)</f>
        <v>0</v>
      </c>
      <c r="G71" s="69"/>
    </row>
    <row r="72" spans="2:7" hidden="1">
      <c r="B72" s="70"/>
      <c r="C72" s="70"/>
      <c r="D72" s="7" t="s">
        <v>53</v>
      </c>
      <c r="E72" s="8">
        <f>E61+E66+E71</f>
        <v>0</v>
      </c>
      <c r="F72" s="21">
        <f>F61+F66+F71</f>
        <v>0</v>
      </c>
      <c r="G72" s="2" t="s">
        <v>54</v>
      </c>
    </row>
  </sheetData>
  <autoFilter ref="B8:G72"/>
  <mergeCells count="27"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workbookViewId="0">
      <selection activeCell="A4" sqref="A4:J4"/>
    </sheetView>
  </sheetViews>
  <sheetFormatPr defaultRowHeight="18.75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>
      <c r="J1" s="5" t="s">
        <v>2</v>
      </c>
    </row>
    <row r="3" spans="1:10" ht="58.5" customHeight="1">
      <c r="A3" s="63" t="s">
        <v>204</v>
      </c>
      <c r="B3" s="63"/>
      <c r="C3" s="63"/>
      <c r="D3" s="63"/>
      <c r="E3" s="63"/>
      <c r="F3" s="63"/>
      <c r="G3" s="63"/>
      <c r="H3" s="63"/>
      <c r="I3" s="63"/>
      <c r="J3" s="63"/>
    </row>
    <row r="4" spans="1:10">
      <c r="A4" s="64" t="s">
        <v>21</v>
      </c>
      <c r="B4" s="64"/>
      <c r="C4" s="64"/>
      <c r="D4" s="64"/>
      <c r="E4" s="64"/>
      <c r="F4" s="64"/>
      <c r="G4" s="64"/>
      <c r="H4" s="64"/>
      <c r="I4" s="64"/>
      <c r="J4" s="64"/>
    </row>
    <row r="6" spans="1:10">
      <c r="A6" s="65" t="s">
        <v>22</v>
      </c>
      <c r="B6" s="65" t="s">
        <v>41</v>
      </c>
      <c r="C6" s="65" t="s">
        <v>57</v>
      </c>
      <c r="D6" s="65" t="s">
        <v>58</v>
      </c>
      <c r="E6" s="65" t="s">
        <v>59</v>
      </c>
      <c r="F6" s="66" t="s">
        <v>60</v>
      </c>
      <c r="G6" s="65" t="s">
        <v>61</v>
      </c>
      <c r="H6" s="65" t="s">
        <v>35</v>
      </c>
      <c r="I6" s="65"/>
      <c r="J6" s="65" t="s">
        <v>62</v>
      </c>
    </row>
    <row r="7" spans="1:10">
      <c r="A7" s="65"/>
      <c r="B7" s="65"/>
      <c r="C7" s="65"/>
      <c r="D7" s="65"/>
      <c r="E7" s="65"/>
      <c r="F7" s="67"/>
      <c r="G7" s="65"/>
      <c r="H7" s="7" t="s">
        <v>38</v>
      </c>
      <c r="I7" s="7" t="s">
        <v>39</v>
      </c>
      <c r="J7" s="65"/>
    </row>
    <row r="8" spans="1:10">
      <c r="A8" s="2">
        <v>1</v>
      </c>
      <c r="B8" s="69" t="s">
        <v>155</v>
      </c>
      <c r="C8" s="68" t="s">
        <v>63</v>
      </c>
      <c r="D8" s="2"/>
      <c r="E8" s="2"/>
      <c r="F8" s="20"/>
      <c r="G8" s="20"/>
      <c r="H8" s="2"/>
      <c r="I8" s="2"/>
      <c r="J8" s="2"/>
    </row>
    <row r="9" spans="1:10">
      <c r="A9" s="2">
        <v>2</v>
      </c>
      <c r="B9" s="69"/>
      <c r="C9" s="69"/>
      <c r="D9" s="2"/>
      <c r="E9" s="2"/>
      <c r="F9" s="20"/>
      <c r="G9" s="20"/>
      <c r="H9" s="2"/>
      <c r="I9" s="2"/>
      <c r="J9" s="2"/>
    </row>
    <row r="10" spans="1:10">
      <c r="A10" s="2">
        <v>3</v>
      </c>
      <c r="B10" s="69"/>
      <c r="C10" s="69"/>
      <c r="D10" s="2"/>
      <c r="E10" s="2"/>
      <c r="F10" s="20"/>
      <c r="G10" s="20"/>
      <c r="H10" s="2"/>
      <c r="I10" s="2"/>
      <c r="J10" s="2"/>
    </row>
    <row r="11" spans="1:10">
      <c r="A11" s="2"/>
      <c r="B11" s="70"/>
      <c r="C11" s="70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U46"/>
  <sheetViews>
    <sheetView zoomScale="70" zoomScaleNormal="70" workbookViewId="0">
      <pane ySplit="7" topLeftCell="A26" activePane="bottomLeft" state="frozen"/>
      <selection pane="bottomLeft" activeCell="A5" sqref="A5:I5"/>
    </sheetView>
  </sheetViews>
  <sheetFormatPr defaultRowHeight="18.75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6" width="23.5703125" style="1" customWidth="1"/>
    <col min="7" max="7" width="23.5703125" style="44" customWidth="1"/>
    <col min="8" max="8" width="37.7109375" style="1" customWidth="1"/>
    <col min="9" max="9" width="21.85546875" style="1" customWidth="1"/>
    <col min="10" max="10" width="14.85546875" style="1" customWidth="1"/>
    <col min="11" max="14" width="9.140625" style="1"/>
    <col min="15" max="15" width="20.7109375" style="1" customWidth="1"/>
    <col min="16" max="16384" width="9.140625" style="1"/>
  </cols>
  <sheetData>
    <row r="1" spans="1:21">
      <c r="J1" s="3" t="s">
        <v>4</v>
      </c>
    </row>
    <row r="3" spans="1:21" ht="18.75" customHeight="1">
      <c r="A3" s="63" t="s">
        <v>205</v>
      </c>
      <c r="B3" s="63"/>
      <c r="C3" s="63"/>
      <c r="D3" s="63"/>
      <c r="E3" s="63"/>
      <c r="F3" s="63"/>
      <c r="G3" s="63"/>
      <c r="H3" s="63"/>
      <c r="I3" s="63"/>
      <c r="J3" s="63"/>
    </row>
    <row r="4" spans="1:21">
      <c r="A4" s="63"/>
      <c r="B4" s="63"/>
      <c r="C4" s="63"/>
      <c r="D4" s="63"/>
      <c r="E4" s="63"/>
      <c r="F4" s="63"/>
      <c r="G4" s="63"/>
      <c r="H4" s="63"/>
      <c r="I4" s="63"/>
      <c r="J4" s="63"/>
    </row>
    <row r="5" spans="1:21">
      <c r="A5" s="64" t="s">
        <v>21</v>
      </c>
      <c r="B5" s="64"/>
      <c r="C5" s="64"/>
      <c r="D5" s="64"/>
      <c r="E5" s="64"/>
      <c r="F5" s="64"/>
      <c r="G5" s="64"/>
      <c r="H5" s="64"/>
      <c r="I5" s="64"/>
      <c r="J5" s="12" t="s">
        <v>65</v>
      </c>
    </row>
    <row r="6" spans="1:21">
      <c r="A6" s="65" t="s">
        <v>22</v>
      </c>
      <c r="B6" s="65" t="s">
        <v>41</v>
      </c>
      <c r="C6" s="65" t="s">
        <v>57</v>
      </c>
      <c r="D6" s="65" t="s">
        <v>58</v>
      </c>
      <c r="E6" s="65" t="s">
        <v>59</v>
      </c>
      <c r="F6" s="66" t="s">
        <v>60</v>
      </c>
      <c r="G6" s="74" t="s">
        <v>61</v>
      </c>
      <c r="H6" s="65" t="s">
        <v>35</v>
      </c>
      <c r="I6" s="65"/>
      <c r="J6" s="65" t="s">
        <v>62</v>
      </c>
    </row>
    <row r="7" spans="1:21" ht="74.25" customHeight="1">
      <c r="A7" s="65"/>
      <c r="B7" s="65"/>
      <c r="C7" s="65"/>
      <c r="D7" s="65"/>
      <c r="E7" s="65"/>
      <c r="F7" s="67"/>
      <c r="G7" s="74"/>
      <c r="H7" s="7" t="s">
        <v>38</v>
      </c>
      <c r="I7" s="7" t="s">
        <v>39</v>
      </c>
      <c r="J7" s="65"/>
    </row>
    <row r="8" spans="1:21">
      <c r="A8" s="2">
        <v>1</v>
      </c>
      <c r="B8" s="73" t="s">
        <v>47</v>
      </c>
      <c r="C8" s="37"/>
      <c r="D8" s="2" t="s">
        <v>67</v>
      </c>
      <c r="E8" s="2"/>
      <c r="F8" s="22">
        <v>0</v>
      </c>
      <c r="G8" s="39"/>
      <c r="H8" s="38"/>
      <c r="I8" s="39"/>
      <c r="J8" s="22"/>
    </row>
    <row r="9" spans="1:21">
      <c r="A9" s="7"/>
      <c r="B9" s="73"/>
      <c r="C9" s="7" t="s">
        <v>66</v>
      </c>
      <c r="D9" s="7" t="s">
        <v>64</v>
      </c>
      <c r="E9" s="7" t="s">
        <v>54</v>
      </c>
      <c r="F9" s="23">
        <f>SUM(F8:F8)</f>
        <v>0</v>
      </c>
      <c r="G9" s="40" t="s">
        <v>54</v>
      </c>
      <c r="H9" s="7" t="s">
        <v>54</v>
      </c>
      <c r="I9" s="40" t="s">
        <v>54</v>
      </c>
      <c r="J9" s="7" t="s">
        <v>66</v>
      </c>
    </row>
    <row r="10" spans="1:21">
      <c r="A10" s="2">
        <v>1</v>
      </c>
      <c r="B10" s="73"/>
      <c r="C10" s="37"/>
      <c r="D10" s="2"/>
      <c r="E10" s="2"/>
      <c r="F10" s="20"/>
      <c r="G10" s="54"/>
      <c r="H10" s="38"/>
      <c r="I10" s="48"/>
      <c r="J10" s="22"/>
    </row>
    <row r="11" spans="1:21">
      <c r="A11" s="2">
        <v>2</v>
      </c>
      <c r="B11" s="73"/>
      <c r="C11" s="37"/>
      <c r="D11" s="2" t="s">
        <v>151</v>
      </c>
      <c r="E11" s="2"/>
      <c r="F11" s="20"/>
      <c r="G11" s="45"/>
      <c r="H11" s="38"/>
      <c r="I11" s="39"/>
      <c r="J11" s="22"/>
    </row>
    <row r="12" spans="1:21">
      <c r="A12" s="2">
        <v>5</v>
      </c>
      <c r="B12" s="73"/>
      <c r="C12" s="37"/>
      <c r="D12" s="2" t="s">
        <v>151</v>
      </c>
      <c r="E12" s="2"/>
      <c r="F12" s="20"/>
      <c r="G12" s="45"/>
      <c r="H12" s="38"/>
      <c r="I12" s="39"/>
      <c r="J12" s="22"/>
    </row>
    <row r="13" spans="1:21">
      <c r="A13" s="7"/>
      <c r="B13" s="73"/>
      <c r="C13" s="7" t="s">
        <v>54</v>
      </c>
      <c r="D13" s="7" t="s">
        <v>64</v>
      </c>
      <c r="E13" s="7" t="s">
        <v>54</v>
      </c>
      <c r="F13" s="23">
        <f>SUM(F10:F12)</f>
        <v>0</v>
      </c>
      <c r="G13" s="40" t="s">
        <v>54</v>
      </c>
      <c r="H13" s="7" t="s">
        <v>54</v>
      </c>
      <c r="I13" s="7" t="s">
        <v>54</v>
      </c>
      <c r="J13" s="7" t="s">
        <v>54</v>
      </c>
    </row>
    <row r="14" spans="1:21">
      <c r="A14" s="2">
        <v>1</v>
      </c>
      <c r="B14" s="68" t="s">
        <v>147</v>
      </c>
      <c r="C14" s="37"/>
      <c r="D14" s="2" t="s">
        <v>67</v>
      </c>
      <c r="E14" s="2"/>
      <c r="F14" s="22">
        <v>0</v>
      </c>
      <c r="G14" s="39"/>
      <c r="H14" s="38"/>
      <c r="I14" s="39"/>
      <c r="J14" s="22"/>
    </row>
    <row r="15" spans="1:21">
      <c r="A15" s="7"/>
      <c r="B15" s="69"/>
      <c r="C15" s="7" t="s">
        <v>66</v>
      </c>
      <c r="D15" s="7" t="s">
        <v>64</v>
      </c>
      <c r="E15" s="7" t="s">
        <v>54</v>
      </c>
      <c r="F15" s="23">
        <f>SUM(F14:F14)</f>
        <v>0</v>
      </c>
      <c r="G15" s="40" t="s">
        <v>54</v>
      </c>
      <c r="H15" s="7" t="s">
        <v>54</v>
      </c>
      <c r="I15" s="40" t="s">
        <v>54</v>
      </c>
      <c r="J15" s="7" t="s">
        <v>66</v>
      </c>
    </row>
    <row r="16" spans="1:21" ht="37.5">
      <c r="A16" s="2">
        <v>3</v>
      </c>
      <c r="B16" s="69"/>
      <c r="C16" s="2" t="s">
        <v>157</v>
      </c>
      <c r="D16" s="2" t="s">
        <v>151</v>
      </c>
      <c r="E16" s="2" t="s">
        <v>152</v>
      </c>
      <c r="F16" s="55">
        <v>184500</v>
      </c>
      <c r="G16" s="2" t="s">
        <v>179</v>
      </c>
      <c r="H16" s="2" t="s">
        <v>165</v>
      </c>
      <c r="I16" s="2" t="s">
        <v>172</v>
      </c>
      <c r="J16" s="2" t="s">
        <v>156</v>
      </c>
      <c r="U16" s="49"/>
    </row>
    <row r="17" spans="1:15">
      <c r="A17" s="46">
        <v>4</v>
      </c>
      <c r="B17" s="69"/>
      <c r="C17" s="2" t="s">
        <v>157</v>
      </c>
      <c r="D17" s="2" t="s">
        <v>151</v>
      </c>
      <c r="E17" s="2" t="s">
        <v>152</v>
      </c>
      <c r="F17" s="55">
        <v>694400</v>
      </c>
      <c r="G17" s="54" t="s">
        <v>180</v>
      </c>
      <c r="H17" s="2" t="s">
        <v>166</v>
      </c>
      <c r="I17" s="2" t="s">
        <v>173</v>
      </c>
      <c r="J17" s="2" t="s">
        <v>156</v>
      </c>
    </row>
    <row r="18" spans="1:15" ht="56.25">
      <c r="A18" s="2">
        <v>5</v>
      </c>
      <c r="B18" s="69"/>
      <c r="C18" s="2" t="s">
        <v>158</v>
      </c>
      <c r="D18" s="2" t="s">
        <v>151</v>
      </c>
      <c r="E18" s="2" t="s">
        <v>152</v>
      </c>
      <c r="F18" s="55">
        <v>90000</v>
      </c>
      <c r="G18" s="2" t="s">
        <v>181</v>
      </c>
      <c r="H18" s="2" t="s">
        <v>167</v>
      </c>
      <c r="I18" s="2" t="s">
        <v>174</v>
      </c>
      <c r="J18" s="2" t="s">
        <v>156</v>
      </c>
    </row>
    <row r="19" spans="1:15" ht="37.5">
      <c r="A19" s="46">
        <v>6</v>
      </c>
      <c r="B19" s="69"/>
      <c r="C19" s="2" t="s">
        <v>159</v>
      </c>
      <c r="D19" s="2" t="s">
        <v>151</v>
      </c>
      <c r="E19" s="2" t="s">
        <v>152</v>
      </c>
      <c r="F19" s="55">
        <v>810000</v>
      </c>
      <c r="G19" s="2" t="s">
        <v>182</v>
      </c>
      <c r="H19" s="2" t="s">
        <v>168</v>
      </c>
      <c r="I19" s="2" t="s">
        <v>175</v>
      </c>
      <c r="J19" s="2" t="s">
        <v>187</v>
      </c>
    </row>
    <row r="20" spans="1:15">
      <c r="A20" s="2">
        <v>7</v>
      </c>
      <c r="B20" s="69"/>
      <c r="C20" s="2" t="s">
        <v>160</v>
      </c>
      <c r="D20" s="2" t="s">
        <v>151</v>
      </c>
      <c r="E20" s="2" t="s">
        <v>152</v>
      </c>
      <c r="F20" s="55">
        <v>749500</v>
      </c>
      <c r="G20" s="54" t="s">
        <v>183</v>
      </c>
      <c r="H20" s="2" t="s">
        <v>169</v>
      </c>
      <c r="I20" s="2" t="s">
        <v>176</v>
      </c>
      <c r="J20" s="2" t="s">
        <v>188</v>
      </c>
    </row>
    <row r="21" spans="1:15">
      <c r="A21" s="46">
        <v>8</v>
      </c>
      <c r="B21" s="69"/>
      <c r="C21" s="2" t="s">
        <v>161</v>
      </c>
      <c r="D21" s="2" t="s">
        <v>151</v>
      </c>
      <c r="E21" s="2" t="s">
        <v>152</v>
      </c>
      <c r="F21" s="55">
        <v>597600</v>
      </c>
      <c r="G21" s="2" t="s">
        <v>184</v>
      </c>
      <c r="H21" s="54" t="s">
        <v>166</v>
      </c>
      <c r="I21" s="2" t="s">
        <v>177</v>
      </c>
      <c r="J21" s="2" t="s">
        <v>187</v>
      </c>
    </row>
    <row r="22" spans="1:15" ht="37.5">
      <c r="A22" s="2">
        <v>9</v>
      </c>
      <c r="B22" s="69"/>
      <c r="C22" s="2" t="s">
        <v>162</v>
      </c>
      <c r="D22" s="2" t="s">
        <v>151</v>
      </c>
      <c r="E22" s="2" t="s">
        <v>152</v>
      </c>
      <c r="F22" s="55">
        <v>79700</v>
      </c>
      <c r="G22" s="2" t="s">
        <v>185</v>
      </c>
      <c r="H22" s="2" t="s">
        <v>170</v>
      </c>
      <c r="I22" s="2" t="s">
        <v>174</v>
      </c>
      <c r="J22" s="2" t="s">
        <v>156</v>
      </c>
    </row>
    <row r="23" spans="1:15">
      <c r="A23" s="46">
        <v>10</v>
      </c>
      <c r="B23" s="69"/>
      <c r="C23" s="2" t="s">
        <v>163</v>
      </c>
      <c r="D23" s="2" t="s">
        <v>151</v>
      </c>
      <c r="E23" s="2" t="s">
        <v>152</v>
      </c>
      <c r="F23" s="55">
        <v>285000</v>
      </c>
      <c r="G23" s="2" t="s">
        <v>186</v>
      </c>
      <c r="H23" s="2" t="s">
        <v>169</v>
      </c>
      <c r="I23" s="2" t="s">
        <v>178</v>
      </c>
      <c r="J23" s="2" t="s">
        <v>156</v>
      </c>
    </row>
    <row r="24" spans="1:15">
      <c r="A24" s="2">
        <v>11</v>
      </c>
      <c r="B24" s="69"/>
      <c r="C24" s="2" t="s">
        <v>164</v>
      </c>
      <c r="D24" s="2" t="s">
        <v>151</v>
      </c>
      <c r="E24" s="2" t="s">
        <v>152</v>
      </c>
      <c r="F24" s="55">
        <v>888880</v>
      </c>
      <c r="G24" s="54" t="s">
        <v>196</v>
      </c>
      <c r="H24" s="2" t="s">
        <v>171</v>
      </c>
      <c r="I24" s="2" t="s">
        <v>177</v>
      </c>
      <c r="J24" s="2" t="s">
        <v>189</v>
      </c>
    </row>
    <row r="25" spans="1:15" ht="37.5">
      <c r="A25" s="46">
        <v>12</v>
      </c>
      <c r="B25" s="69"/>
      <c r="C25" s="2" t="s">
        <v>190</v>
      </c>
      <c r="D25" s="2" t="s">
        <v>151</v>
      </c>
      <c r="E25" s="2" t="s">
        <v>152</v>
      </c>
      <c r="F25" s="55">
        <v>854480</v>
      </c>
      <c r="G25" s="2" t="s">
        <v>194</v>
      </c>
      <c r="H25" s="2" t="s">
        <v>166</v>
      </c>
      <c r="I25" s="2" t="s">
        <v>174</v>
      </c>
      <c r="J25" s="2" t="s">
        <v>156</v>
      </c>
      <c r="O25" s="49"/>
    </row>
    <row r="26" spans="1:15">
      <c r="A26" s="2">
        <v>13</v>
      </c>
      <c r="B26" s="69"/>
      <c r="C26" s="2" t="s">
        <v>191</v>
      </c>
      <c r="D26" s="2" t="s">
        <v>151</v>
      </c>
      <c r="E26" s="2" t="s">
        <v>152</v>
      </c>
      <c r="F26" s="55">
        <v>1895000</v>
      </c>
      <c r="G26" s="2" t="s">
        <v>195</v>
      </c>
      <c r="H26" s="2" t="s">
        <v>192</v>
      </c>
      <c r="I26" s="2" t="s">
        <v>193</v>
      </c>
      <c r="J26" s="2" t="s">
        <v>156</v>
      </c>
    </row>
    <row r="27" spans="1:15">
      <c r="A27" s="7"/>
      <c r="B27" s="70"/>
      <c r="C27" s="7" t="s">
        <v>54</v>
      </c>
      <c r="D27" s="7" t="s">
        <v>64</v>
      </c>
      <c r="E27" s="7" t="s">
        <v>54</v>
      </c>
      <c r="F27" s="23">
        <f>SUM(F16:F26)</f>
        <v>7129060</v>
      </c>
      <c r="G27" s="40" t="s">
        <v>54</v>
      </c>
      <c r="H27" s="7" t="s">
        <v>54</v>
      </c>
      <c r="I27" s="7" t="s">
        <v>54</v>
      </c>
      <c r="J27" s="7" t="s">
        <v>54</v>
      </c>
    </row>
    <row r="28" spans="1:15">
      <c r="A28" s="2">
        <v>1</v>
      </c>
      <c r="B28" s="69" t="s">
        <v>150</v>
      </c>
      <c r="C28" s="37"/>
      <c r="D28" s="2" t="s">
        <v>67</v>
      </c>
      <c r="E28" s="2"/>
      <c r="F28" s="22">
        <v>0</v>
      </c>
      <c r="G28" s="39"/>
      <c r="H28" s="38"/>
      <c r="I28" s="39"/>
      <c r="J28" s="22"/>
    </row>
    <row r="29" spans="1:15">
      <c r="A29" s="7"/>
      <c r="B29" s="69"/>
      <c r="C29" s="7" t="s">
        <v>66</v>
      </c>
      <c r="D29" s="7" t="s">
        <v>64</v>
      </c>
      <c r="E29" s="7" t="s">
        <v>54</v>
      </c>
      <c r="F29" s="23">
        <f>SUM(F28:F28)</f>
        <v>0</v>
      </c>
      <c r="G29" s="40" t="s">
        <v>54</v>
      </c>
      <c r="H29" s="7" t="s">
        <v>54</v>
      </c>
      <c r="I29" s="40" t="s">
        <v>54</v>
      </c>
      <c r="J29" s="7" t="s">
        <v>66</v>
      </c>
    </row>
    <row r="30" spans="1:15" ht="37.5">
      <c r="A30" s="50">
        <v>1</v>
      </c>
      <c r="B30" s="69"/>
      <c r="C30" s="60" t="s">
        <v>197</v>
      </c>
      <c r="D30" s="60" t="s">
        <v>151</v>
      </c>
      <c r="E30" s="60" t="s">
        <v>152</v>
      </c>
      <c r="F30" s="55">
        <v>683280</v>
      </c>
      <c r="G30" s="60" t="s">
        <v>200</v>
      </c>
      <c r="H30" s="60" t="s">
        <v>198</v>
      </c>
      <c r="I30" s="39" t="s">
        <v>199</v>
      </c>
      <c r="J30" s="60" t="s">
        <v>189</v>
      </c>
    </row>
    <row r="31" spans="1:15">
      <c r="A31" s="50">
        <v>2</v>
      </c>
      <c r="B31" s="69"/>
      <c r="C31" s="51"/>
      <c r="D31" s="51"/>
      <c r="E31" s="51"/>
      <c r="F31" s="53"/>
      <c r="G31" s="51"/>
      <c r="H31" s="51"/>
      <c r="I31" s="51"/>
      <c r="J31" s="51"/>
      <c r="O31" s="52"/>
    </row>
    <row r="32" spans="1:15">
      <c r="A32" s="50">
        <v>7</v>
      </c>
      <c r="B32" s="69"/>
      <c r="C32" s="51"/>
      <c r="D32" s="51"/>
      <c r="E32" s="51"/>
      <c r="F32" s="53"/>
      <c r="G32" s="51"/>
      <c r="H32" s="51"/>
      <c r="I32" s="51"/>
      <c r="J32" s="51"/>
    </row>
    <row r="33" spans="1:10">
      <c r="A33" s="7"/>
      <c r="B33" s="42"/>
      <c r="C33" s="7" t="s">
        <v>54</v>
      </c>
      <c r="D33" s="7" t="s">
        <v>64</v>
      </c>
      <c r="E33" s="7" t="s">
        <v>54</v>
      </c>
      <c r="F33" s="23">
        <f>SUM(F30:F32)</f>
        <v>683280</v>
      </c>
      <c r="G33" s="40" t="s">
        <v>54</v>
      </c>
      <c r="H33" s="7" t="s">
        <v>54</v>
      </c>
      <c r="I33" s="7" t="s">
        <v>54</v>
      </c>
      <c r="J33" s="7" t="s">
        <v>54</v>
      </c>
    </row>
    <row r="34" spans="1:10">
      <c r="A34" s="2">
        <v>1</v>
      </c>
      <c r="B34" s="69" t="s">
        <v>154</v>
      </c>
      <c r="C34" s="37"/>
      <c r="D34" s="2" t="s">
        <v>67</v>
      </c>
      <c r="E34" s="2"/>
      <c r="F34" s="22">
        <v>0</v>
      </c>
      <c r="G34" s="39"/>
      <c r="H34" s="38"/>
      <c r="I34" s="39"/>
      <c r="J34" s="22"/>
    </row>
    <row r="35" spans="1:10">
      <c r="A35" s="7"/>
      <c r="B35" s="69"/>
      <c r="C35" s="7" t="s">
        <v>66</v>
      </c>
      <c r="D35" s="7" t="s">
        <v>64</v>
      </c>
      <c r="E35" s="7" t="s">
        <v>54</v>
      </c>
      <c r="F35" s="23">
        <f>SUM(F34:F34)</f>
        <v>0</v>
      </c>
      <c r="G35" s="40" t="s">
        <v>54</v>
      </c>
      <c r="H35" s="7" t="s">
        <v>54</v>
      </c>
      <c r="I35" s="40" t="s">
        <v>54</v>
      </c>
      <c r="J35" s="7" t="s">
        <v>66</v>
      </c>
    </row>
    <row r="36" spans="1:10">
      <c r="A36" s="2">
        <v>1</v>
      </c>
      <c r="B36" s="69"/>
      <c r="C36" s="37"/>
      <c r="D36" s="2" t="s">
        <v>151</v>
      </c>
      <c r="E36" s="2"/>
      <c r="F36" s="20"/>
      <c r="H36" s="38"/>
      <c r="I36" s="39"/>
      <c r="J36" s="22"/>
    </row>
    <row r="37" spans="1:10">
      <c r="A37" s="46">
        <v>2</v>
      </c>
      <c r="B37" s="69"/>
      <c r="C37" s="41"/>
      <c r="D37" s="2" t="s">
        <v>151</v>
      </c>
      <c r="E37" s="2"/>
      <c r="F37" s="20"/>
      <c r="H37" s="38"/>
      <c r="I37" s="39"/>
      <c r="J37" s="22"/>
    </row>
    <row r="38" spans="1:10">
      <c r="A38" s="46">
        <v>3</v>
      </c>
      <c r="B38" s="69"/>
      <c r="C38" s="41"/>
      <c r="D38" s="2" t="s">
        <v>151</v>
      </c>
      <c r="E38" s="2"/>
      <c r="F38" s="22"/>
      <c r="G38" s="39"/>
      <c r="H38" s="38"/>
      <c r="I38" s="39"/>
      <c r="J38" s="22"/>
    </row>
    <row r="39" spans="1:10">
      <c r="A39" s="7"/>
      <c r="B39" s="42"/>
      <c r="C39" s="7" t="s">
        <v>54</v>
      </c>
      <c r="D39" s="7" t="s">
        <v>64</v>
      </c>
      <c r="E39" s="7" t="s">
        <v>54</v>
      </c>
      <c r="F39" s="23">
        <f>SUM(F36:F38)</f>
        <v>0</v>
      </c>
      <c r="G39" s="40" t="s">
        <v>54</v>
      </c>
      <c r="H39" s="7" t="s">
        <v>54</v>
      </c>
      <c r="I39" s="7" t="s">
        <v>54</v>
      </c>
      <c r="J39" s="7" t="s">
        <v>54</v>
      </c>
    </row>
    <row r="40" spans="1:10">
      <c r="A40" s="7"/>
      <c r="B40" s="42"/>
      <c r="C40" s="7"/>
      <c r="D40" s="7"/>
      <c r="E40" s="7"/>
      <c r="F40" s="23"/>
      <c r="G40" s="40"/>
      <c r="H40" s="7"/>
      <c r="I40" s="7"/>
      <c r="J40" s="7"/>
    </row>
    <row r="41" spans="1:10">
      <c r="A41" s="7"/>
      <c r="B41" s="42"/>
      <c r="C41" s="7"/>
      <c r="D41" s="7"/>
      <c r="E41" s="7"/>
      <c r="F41" s="23"/>
      <c r="G41" s="40"/>
      <c r="H41" s="7"/>
      <c r="I41" s="7"/>
      <c r="J41" s="7"/>
    </row>
    <row r="42" spans="1:10">
      <c r="A42" s="7"/>
      <c r="B42" s="42"/>
      <c r="C42" s="7" t="s">
        <v>54</v>
      </c>
      <c r="D42" s="7" t="s">
        <v>53</v>
      </c>
      <c r="E42" s="7" t="s">
        <v>54</v>
      </c>
      <c r="F42" s="23">
        <f>+F1+F13+F27+F33</f>
        <v>7812340</v>
      </c>
      <c r="G42" s="40" t="s">
        <v>54</v>
      </c>
      <c r="H42" s="7" t="s">
        <v>54</v>
      </c>
      <c r="I42" s="7" t="s">
        <v>54</v>
      </c>
      <c r="J42" s="7" t="s">
        <v>54</v>
      </c>
    </row>
    <row r="43" spans="1:10">
      <c r="A43" s="15"/>
      <c r="B43" s="16"/>
      <c r="C43" s="15"/>
      <c r="D43" s="15"/>
      <c r="E43" s="15"/>
      <c r="F43" s="17"/>
      <c r="G43" s="43"/>
      <c r="H43" s="15"/>
      <c r="I43" s="15"/>
      <c r="J43" s="15"/>
    </row>
    <row r="46" spans="1:10">
      <c r="F46" s="1" t="s">
        <v>3</v>
      </c>
    </row>
  </sheetData>
  <mergeCells count="15">
    <mergeCell ref="B34:B38"/>
    <mergeCell ref="B28:B32"/>
    <mergeCell ref="A5:I5"/>
    <mergeCell ref="B14:B27"/>
    <mergeCell ref="A3:J4"/>
    <mergeCell ref="B8:B13"/>
    <mergeCell ref="J6:J7"/>
    <mergeCell ref="A6:A7"/>
    <mergeCell ref="B6:B7"/>
    <mergeCell ref="C6:C7"/>
    <mergeCell ref="D6:D7"/>
    <mergeCell ref="E6:E7"/>
    <mergeCell ref="F6:F7"/>
    <mergeCell ref="G6:G7"/>
    <mergeCell ref="H6:I6"/>
  </mergeCells>
  <phoneticPr fontId="13" type="noConversion"/>
  <conditionalFormatting sqref="G10">
    <cfRule type="duplicateValues" dxfId="2" priority="2"/>
  </conditionalFormatting>
  <conditionalFormatting sqref="G16:G23 G25:G26">
    <cfRule type="duplicateValues" dxfId="1" priority="11"/>
  </conditionalFormatting>
  <conditionalFormatting sqref="G2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F27" sqref="F27"/>
    </sheetView>
  </sheetViews>
  <sheetFormatPr defaultRowHeight="18.75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>
      <c r="H1" s="3" t="s">
        <v>5</v>
      </c>
    </row>
    <row r="3" spans="1:8" ht="55.5" customHeight="1">
      <c r="A3" s="63" t="s">
        <v>206</v>
      </c>
      <c r="B3" s="63"/>
      <c r="C3" s="63"/>
      <c r="D3" s="63"/>
      <c r="E3" s="63"/>
      <c r="F3" s="63"/>
      <c r="G3" s="63"/>
      <c r="H3" s="63"/>
    </row>
    <row r="5" spans="1:8" ht="45" customHeight="1">
      <c r="A5" s="65" t="s">
        <v>22</v>
      </c>
      <c r="B5" s="65" t="s">
        <v>41</v>
      </c>
      <c r="C5" s="65" t="s">
        <v>68</v>
      </c>
      <c r="D5" s="65" t="s">
        <v>58</v>
      </c>
      <c r="E5" s="65" t="s">
        <v>59</v>
      </c>
      <c r="F5" s="75" t="s">
        <v>35</v>
      </c>
      <c r="G5" s="76"/>
      <c r="H5" s="65" t="s">
        <v>69</v>
      </c>
    </row>
    <row r="6" spans="1:8" ht="37.5">
      <c r="A6" s="65"/>
      <c r="B6" s="65"/>
      <c r="C6" s="65"/>
      <c r="D6" s="65"/>
      <c r="E6" s="65"/>
      <c r="F6" s="7" t="s">
        <v>38</v>
      </c>
      <c r="G6" s="7" t="s">
        <v>39</v>
      </c>
      <c r="H6" s="65"/>
    </row>
    <row r="7" spans="1:8">
      <c r="A7" s="2">
        <v>1</v>
      </c>
      <c r="B7" s="2" t="s">
        <v>210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>
      <c r="A9" s="19" t="s">
        <v>70</v>
      </c>
      <c r="B9" s="62" t="s">
        <v>207</v>
      </c>
      <c r="C9" s="62"/>
      <c r="D9" s="62"/>
      <c r="E9" s="62"/>
      <c r="F9" s="62"/>
      <c r="G9" s="62"/>
      <c r="H9" s="62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E8" sqref="E8"/>
    </sheetView>
  </sheetViews>
  <sheetFormatPr defaultRowHeight="18.75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>
      <c r="I1" s="3" t="s">
        <v>6</v>
      </c>
    </row>
    <row r="3" spans="1:9" ht="64.5" customHeight="1">
      <c r="A3" s="63" t="s">
        <v>212</v>
      </c>
      <c r="B3" s="63"/>
      <c r="C3" s="63"/>
      <c r="D3" s="63"/>
      <c r="E3" s="63"/>
      <c r="F3" s="63"/>
      <c r="G3" s="63"/>
      <c r="H3" s="63"/>
      <c r="I3" s="63"/>
    </row>
    <row r="4" spans="1:9">
      <c r="A4" s="64" t="s">
        <v>21</v>
      </c>
      <c r="B4" s="64"/>
      <c r="C4" s="64"/>
      <c r="D4" s="64"/>
      <c r="E4" s="64"/>
      <c r="F4" s="64"/>
      <c r="G4" s="64"/>
      <c r="H4" s="64"/>
      <c r="I4" s="64"/>
    </row>
    <row r="6" spans="1:9">
      <c r="A6" s="65" t="s">
        <v>22</v>
      </c>
      <c r="B6" s="65" t="s">
        <v>71</v>
      </c>
      <c r="C6" s="65" t="s">
        <v>72</v>
      </c>
      <c r="D6" s="65" t="s">
        <v>73</v>
      </c>
      <c r="E6" s="65"/>
      <c r="F6" s="65" t="s">
        <v>74</v>
      </c>
      <c r="G6" s="65" t="s">
        <v>75</v>
      </c>
      <c r="H6" s="65" t="s">
        <v>76</v>
      </c>
      <c r="I6" s="65" t="s">
        <v>77</v>
      </c>
    </row>
    <row r="7" spans="1:9" ht="112.5">
      <c r="A7" s="65"/>
      <c r="B7" s="65"/>
      <c r="C7" s="65"/>
      <c r="D7" s="7" t="s">
        <v>78</v>
      </c>
      <c r="E7" s="7" t="s">
        <v>79</v>
      </c>
      <c r="F7" s="65"/>
      <c r="G7" s="65"/>
      <c r="H7" s="65"/>
      <c r="I7" s="65"/>
    </row>
    <row r="8" spans="1:9" ht="131.25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>
      <c r="A10" s="9" t="s">
        <v>70</v>
      </c>
      <c r="B10" s="77" t="s">
        <v>211</v>
      </c>
      <c r="C10" s="77"/>
      <c r="D10" s="77"/>
      <c r="E10" s="77"/>
      <c r="F10" s="77"/>
      <c r="G10" s="77"/>
      <c r="H10" s="77"/>
      <c r="I10" s="77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H6" sqref="H6"/>
    </sheetView>
  </sheetViews>
  <sheetFormatPr defaultRowHeight="18.75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>
      <c r="K1" s="3" t="s">
        <v>7</v>
      </c>
    </row>
    <row r="2" spans="1:11" ht="53.25" customHeight="1">
      <c r="B2" s="63" t="s">
        <v>213</v>
      </c>
      <c r="C2" s="63"/>
      <c r="D2" s="63"/>
      <c r="E2" s="63"/>
      <c r="F2" s="63"/>
      <c r="G2" s="63"/>
      <c r="H2" s="63"/>
      <c r="I2" s="63"/>
      <c r="J2" s="63"/>
      <c r="K2" s="63"/>
    </row>
    <row r="3" spans="1:11">
      <c r="A3" s="13"/>
      <c r="B3" s="64" t="s">
        <v>21</v>
      </c>
      <c r="C3" s="64"/>
      <c r="D3" s="64"/>
      <c r="E3" s="64"/>
      <c r="F3" s="64"/>
      <c r="G3" s="64"/>
      <c r="H3" s="64"/>
      <c r="I3" s="64"/>
      <c r="J3" s="64"/>
      <c r="K3" s="64"/>
    </row>
    <row r="5" spans="1:11" ht="75">
      <c r="A5" s="78" t="s">
        <v>8</v>
      </c>
      <c r="B5" s="79" t="s">
        <v>80</v>
      </c>
      <c r="C5" s="79" t="s">
        <v>81</v>
      </c>
      <c r="D5" s="79" t="s">
        <v>82</v>
      </c>
      <c r="E5" s="79" t="s">
        <v>33</v>
      </c>
      <c r="F5" s="79" t="s">
        <v>73</v>
      </c>
      <c r="G5" s="79"/>
      <c r="H5" s="24" t="s">
        <v>83</v>
      </c>
      <c r="I5" s="24" t="s">
        <v>84</v>
      </c>
      <c r="J5" s="79" t="s">
        <v>85</v>
      </c>
      <c r="K5" s="79" t="s">
        <v>77</v>
      </c>
    </row>
    <row r="6" spans="1:11" ht="75" customHeight="1">
      <c r="A6" s="78"/>
      <c r="B6" s="79"/>
      <c r="C6" s="79"/>
      <c r="D6" s="79"/>
      <c r="E6" s="79"/>
      <c r="F6" s="28" t="s">
        <v>86</v>
      </c>
      <c r="G6" s="24" t="s">
        <v>87</v>
      </c>
      <c r="H6" s="24" t="s">
        <v>88</v>
      </c>
      <c r="I6" s="24" t="s">
        <v>88</v>
      </c>
      <c r="J6" s="79"/>
      <c r="K6" s="79"/>
    </row>
    <row r="7" spans="1:11">
      <c r="A7" s="25" t="s">
        <v>9</v>
      </c>
      <c r="B7" s="26" t="s">
        <v>89</v>
      </c>
      <c r="C7" s="27" t="s">
        <v>19</v>
      </c>
      <c r="D7" s="27" t="s">
        <v>19</v>
      </c>
      <c r="E7" s="27" t="s">
        <v>19</v>
      </c>
      <c r="F7" s="27" t="s">
        <v>19</v>
      </c>
      <c r="G7" s="27" t="s">
        <v>19</v>
      </c>
      <c r="H7" s="27" t="s">
        <v>19</v>
      </c>
      <c r="I7" s="27" t="s">
        <v>19</v>
      </c>
      <c r="J7" s="27" t="s">
        <v>19</v>
      </c>
      <c r="K7" s="27" t="s">
        <v>19</v>
      </c>
    </row>
    <row r="8" spans="1:11">
      <c r="A8" s="25" t="s">
        <v>10</v>
      </c>
      <c r="B8" s="26" t="s">
        <v>90</v>
      </c>
      <c r="C8" s="27" t="s">
        <v>19</v>
      </c>
      <c r="D8" s="27" t="s">
        <v>19</v>
      </c>
      <c r="E8" s="27" t="s">
        <v>19</v>
      </c>
      <c r="F8" s="27" t="s">
        <v>19</v>
      </c>
      <c r="G8" s="27" t="s">
        <v>19</v>
      </c>
      <c r="H8" s="27" t="s">
        <v>19</v>
      </c>
      <c r="I8" s="27" t="s">
        <v>19</v>
      </c>
      <c r="J8" s="27" t="s">
        <v>19</v>
      </c>
      <c r="K8" s="27" t="s">
        <v>19</v>
      </c>
    </row>
    <row r="9" spans="1:11">
      <c r="A9" s="25" t="s">
        <v>11</v>
      </c>
      <c r="B9" s="26" t="s">
        <v>91</v>
      </c>
      <c r="C9" s="27" t="s">
        <v>19</v>
      </c>
      <c r="D9" s="27" t="s">
        <v>19</v>
      </c>
      <c r="E9" s="27" t="s">
        <v>19</v>
      </c>
      <c r="F9" s="27" t="s">
        <v>19</v>
      </c>
      <c r="G9" s="27" t="s">
        <v>19</v>
      </c>
      <c r="H9" s="27" t="s">
        <v>19</v>
      </c>
      <c r="I9" s="27" t="s">
        <v>19</v>
      </c>
      <c r="J9" s="27" t="s">
        <v>19</v>
      </c>
      <c r="K9" s="27" t="s">
        <v>19</v>
      </c>
    </row>
    <row r="10" spans="1:11" ht="37.5">
      <c r="A10" s="25" t="s">
        <v>12</v>
      </c>
      <c r="B10" s="26" t="s">
        <v>92</v>
      </c>
      <c r="C10" s="27" t="s">
        <v>19</v>
      </c>
      <c r="D10" s="27" t="s">
        <v>19</v>
      </c>
      <c r="E10" s="27" t="s">
        <v>19</v>
      </c>
      <c r="F10" s="27" t="s">
        <v>19</v>
      </c>
      <c r="G10" s="27" t="s">
        <v>19</v>
      </c>
      <c r="H10" s="27" t="s">
        <v>19</v>
      </c>
      <c r="I10" s="27" t="s">
        <v>19</v>
      </c>
      <c r="J10" s="27" t="s">
        <v>19</v>
      </c>
      <c r="K10" s="27" t="s">
        <v>19</v>
      </c>
    </row>
    <row r="11" spans="1:11" ht="37.5">
      <c r="A11" s="25" t="s">
        <v>13</v>
      </c>
      <c r="B11" s="26" t="s">
        <v>93</v>
      </c>
      <c r="C11" s="27" t="s">
        <v>19</v>
      </c>
      <c r="D11" s="27" t="s">
        <v>19</v>
      </c>
      <c r="E11" s="27" t="s">
        <v>19</v>
      </c>
      <c r="F11" s="27" t="s">
        <v>19</v>
      </c>
      <c r="G11" s="27" t="s">
        <v>19</v>
      </c>
      <c r="H11" s="27" t="s">
        <v>19</v>
      </c>
      <c r="I11" s="27" t="s">
        <v>19</v>
      </c>
      <c r="J11" s="27" t="s">
        <v>19</v>
      </c>
      <c r="K11" s="27" t="s">
        <v>19</v>
      </c>
    </row>
    <row r="12" spans="1:11">
      <c r="A12" s="25" t="s">
        <v>14</v>
      </c>
      <c r="B12" s="26" t="s">
        <v>94</v>
      </c>
      <c r="C12" s="27" t="s">
        <v>19</v>
      </c>
      <c r="D12" s="27" t="s">
        <v>19</v>
      </c>
      <c r="E12" s="27" t="s">
        <v>19</v>
      </c>
      <c r="F12" s="27" t="s">
        <v>19</v>
      </c>
      <c r="G12" s="27" t="s">
        <v>19</v>
      </c>
      <c r="H12" s="27" t="s">
        <v>19</v>
      </c>
      <c r="I12" s="27" t="s">
        <v>19</v>
      </c>
      <c r="J12" s="27" t="s">
        <v>19</v>
      </c>
      <c r="K12" s="27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A4" sqref="A4:F4"/>
    </sheetView>
  </sheetViews>
  <sheetFormatPr defaultRowHeight="18.75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>
      <c r="F1" s="3" t="s">
        <v>15</v>
      </c>
    </row>
    <row r="3" spans="1:6" ht="37.5" customHeight="1">
      <c r="A3" s="80" t="s">
        <v>214</v>
      </c>
      <c r="B3" s="64"/>
      <c r="C3" s="64"/>
      <c r="D3" s="64"/>
      <c r="E3" s="64"/>
      <c r="F3" s="64"/>
    </row>
    <row r="4" spans="1:6">
      <c r="A4" s="64"/>
      <c r="B4" s="64"/>
      <c r="C4" s="64"/>
      <c r="D4" s="64"/>
      <c r="E4" s="64"/>
      <c r="F4" s="64"/>
    </row>
    <row r="6" spans="1:6" ht="37.5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>
      <c r="A9" s="29" t="s">
        <v>70</v>
      </c>
      <c r="B9" s="81" t="s">
        <v>149</v>
      </c>
      <c r="C9" s="82"/>
      <c r="D9" s="82"/>
      <c r="E9" s="82"/>
      <c r="F9" s="82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B4" sqref="B4:L4"/>
    </sheetView>
  </sheetViews>
  <sheetFormatPr defaultRowHeight="18.75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>
      <c r="L1" s="3" t="s">
        <v>16</v>
      </c>
    </row>
    <row r="3" spans="1:12" ht="71.25" customHeight="1">
      <c r="B3" s="80" t="s">
        <v>215</v>
      </c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>
      <c r="B4" s="64" t="s">
        <v>100</v>
      </c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65" t="s">
        <v>8</v>
      </c>
      <c r="B6" s="65" t="s">
        <v>101</v>
      </c>
      <c r="C6" s="65" t="s">
        <v>102</v>
      </c>
      <c r="D6" s="65" t="s">
        <v>103</v>
      </c>
      <c r="E6" s="65" t="s">
        <v>104</v>
      </c>
      <c r="F6" s="65" t="s">
        <v>105</v>
      </c>
      <c r="G6" s="65" t="s">
        <v>106</v>
      </c>
      <c r="H6" s="65" t="s">
        <v>107</v>
      </c>
      <c r="I6" s="65" t="s">
        <v>108</v>
      </c>
      <c r="J6" s="65"/>
      <c r="K6" s="65"/>
      <c r="L6" s="65" t="s">
        <v>109</v>
      </c>
    </row>
    <row r="7" spans="1:12" ht="150">
      <c r="A7" s="65"/>
      <c r="B7" s="65"/>
      <c r="C7" s="65"/>
      <c r="D7" s="65"/>
      <c r="E7" s="65"/>
      <c r="F7" s="65"/>
      <c r="G7" s="65"/>
      <c r="H7" s="65"/>
      <c r="I7" s="7" t="s">
        <v>110</v>
      </c>
      <c r="J7" s="7" t="s">
        <v>111</v>
      </c>
      <c r="K7" s="7" t="s">
        <v>112</v>
      </c>
      <c r="L7" s="65"/>
    </row>
    <row r="8" spans="1:12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C18" sqref="C18"/>
    </sheetView>
  </sheetViews>
  <sheetFormatPr defaultRowHeight="18.75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>
      <c r="D1" s="3" t="s">
        <v>17</v>
      </c>
    </row>
    <row r="3" spans="1:4" ht="86.25" customHeight="1">
      <c r="B3" s="63" t="s">
        <v>216</v>
      </c>
      <c r="C3" s="63"/>
      <c r="D3" s="63"/>
    </row>
    <row r="4" spans="1:4">
      <c r="B4" s="64" t="s">
        <v>113</v>
      </c>
      <c r="C4" s="64"/>
      <c r="D4" s="64"/>
    </row>
    <row r="6" spans="1:4">
      <c r="A6" s="7" t="s">
        <v>8</v>
      </c>
      <c r="B6" s="7" t="s">
        <v>114</v>
      </c>
      <c r="C6" s="7" t="s">
        <v>115</v>
      </c>
      <c r="D6" s="7" t="s">
        <v>116</v>
      </c>
    </row>
    <row r="7" spans="1:4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>
      <c r="A10" s="19" t="s">
        <v>18</v>
      </c>
      <c r="B10" s="62" t="s">
        <v>217</v>
      </c>
      <c r="C10" s="62"/>
      <c r="D10" s="62"/>
    </row>
  </sheetData>
  <mergeCells count="3">
    <mergeCell ref="B3:D3"/>
    <mergeCell ref="B4:D4"/>
    <mergeCell ref="B10:D10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9" zoomScale="85" zoomScaleNormal="85" workbookViewId="0">
      <selection activeCell="I37" sqref="I37"/>
    </sheetView>
  </sheetViews>
  <sheetFormatPr defaultRowHeight="18.75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>
      <c r="K1" s="36" t="s">
        <v>117</v>
      </c>
    </row>
    <row r="3" spans="1:11" ht="73.5" customHeight="1">
      <c r="B3" s="63" t="s">
        <v>218</v>
      </c>
      <c r="C3" s="63"/>
      <c r="D3" s="63"/>
      <c r="E3" s="63"/>
      <c r="F3" s="63"/>
      <c r="G3" s="63"/>
      <c r="H3" s="63"/>
      <c r="I3" s="63"/>
      <c r="J3" s="63"/>
      <c r="K3" s="63"/>
    </row>
    <row r="4" spans="1:11">
      <c r="B4" s="64" t="s">
        <v>118</v>
      </c>
      <c r="C4" s="64"/>
      <c r="D4" s="64"/>
      <c r="E4" s="64"/>
      <c r="F4" s="64"/>
      <c r="G4" s="64"/>
      <c r="H4" s="64"/>
      <c r="I4" s="64"/>
      <c r="J4" s="64"/>
      <c r="K4" s="64"/>
    </row>
    <row r="6" spans="1:11" ht="31.5" customHeight="1">
      <c r="A6" s="30"/>
      <c r="B6" s="34" t="s">
        <v>119</v>
      </c>
      <c r="C6" s="34"/>
      <c r="D6" s="30"/>
      <c r="E6" s="30"/>
      <c r="F6" s="30"/>
      <c r="G6" s="30"/>
      <c r="H6" s="30"/>
      <c r="I6" s="86"/>
      <c r="J6" s="86"/>
      <c r="K6" s="86"/>
    </row>
    <row r="7" spans="1:11" ht="37.5">
      <c r="A7" s="79" t="s">
        <v>120</v>
      </c>
      <c r="B7" s="79" t="s">
        <v>121</v>
      </c>
      <c r="C7" s="79" t="s">
        <v>122</v>
      </c>
      <c r="D7" s="24" t="s">
        <v>123</v>
      </c>
      <c r="E7" s="79" t="s">
        <v>124</v>
      </c>
      <c r="F7" s="24" t="s">
        <v>125</v>
      </c>
      <c r="G7" s="79" t="s">
        <v>126</v>
      </c>
      <c r="H7" s="79"/>
      <c r="I7" s="79" t="s">
        <v>127</v>
      </c>
      <c r="J7" s="79"/>
      <c r="K7" s="79"/>
    </row>
    <row r="8" spans="1:11" ht="56.25">
      <c r="A8" s="79"/>
      <c r="B8" s="79"/>
      <c r="C8" s="79"/>
      <c r="D8" s="24" t="s">
        <v>128</v>
      </c>
      <c r="E8" s="79"/>
      <c r="F8" s="24" t="s">
        <v>88</v>
      </c>
      <c r="G8" s="24" t="s">
        <v>129</v>
      </c>
      <c r="H8" s="24" t="s">
        <v>130</v>
      </c>
      <c r="I8" s="24" t="s">
        <v>131</v>
      </c>
      <c r="J8" s="24" t="s">
        <v>132</v>
      </c>
      <c r="K8" s="24" t="s">
        <v>133</v>
      </c>
    </row>
    <row r="9" spans="1:11">
      <c r="A9" s="25">
        <v>1</v>
      </c>
      <c r="B9" s="31"/>
      <c r="C9" s="31"/>
      <c r="D9" s="31"/>
      <c r="E9" s="31"/>
      <c r="F9" s="31"/>
      <c r="G9" s="31"/>
      <c r="H9" s="31"/>
      <c r="I9" s="31"/>
      <c r="J9" s="31"/>
      <c r="K9" s="32"/>
    </row>
    <row r="10" spans="1:11">
      <c r="A10" s="25">
        <v>2</v>
      </c>
      <c r="B10" s="31"/>
      <c r="C10" s="31"/>
      <c r="D10" s="31"/>
      <c r="E10" s="31"/>
      <c r="F10" s="31"/>
      <c r="G10" s="31"/>
      <c r="H10" s="31"/>
      <c r="I10" s="31"/>
      <c r="J10" s="31"/>
      <c r="K10" s="32"/>
    </row>
    <row r="11" spans="1:11">
      <c r="A11" s="25">
        <v>3</v>
      </c>
      <c r="B11" s="31"/>
      <c r="C11" s="31"/>
      <c r="D11" s="31"/>
      <c r="E11" s="31"/>
      <c r="F11" s="31"/>
      <c r="G11" s="31"/>
      <c r="H11" s="31"/>
      <c r="I11" s="31"/>
      <c r="J11" s="31"/>
      <c r="K11" s="32"/>
    </row>
    <row r="12" spans="1:11">
      <c r="A12" s="79" t="s">
        <v>64</v>
      </c>
      <c r="B12" s="79"/>
      <c r="C12" s="24" t="s">
        <v>54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</row>
    <row r="13" spans="1:11">
      <c r="A13" s="85"/>
      <c r="B13" s="35" t="s">
        <v>134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1:11">
      <c r="A14" s="85"/>
      <c r="B14" s="35"/>
      <c r="C14" s="35"/>
      <c r="D14" s="35"/>
      <c r="E14" s="35"/>
      <c r="F14" s="35"/>
      <c r="G14" s="35"/>
      <c r="H14" s="35"/>
      <c r="I14" s="35"/>
      <c r="J14" s="35"/>
      <c r="K14" s="35"/>
    </row>
    <row r="15" spans="1:11">
      <c r="A15" s="85"/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 ht="18.75" customHeight="1">
      <c r="A16" s="30"/>
      <c r="B16" s="34" t="s">
        <v>135</v>
      </c>
      <c r="C16" s="34"/>
      <c r="D16" s="30"/>
      <c r="E16" s="30"/>
      <c r="F16" s="30"/>
      <c r="G16" s="30"/>
      <c r="H16" s="30"/>
      <c r="I16" s="86"/>
      <c r="J16" s="86"/>
      <c r="K16" s="86"/>
    </row>
    <row r="17" spans="1:11" ht="62.25" customHeight="1">
      <c r="A17" s="79" t="s">
        <v>120</v>
      </c>
      <c r="B17" s="79" t="s">
        <v>136</v>
      </c>
      <c r="C17" s="79" t="s">
        <v>122</v>
      </c>
      <c r="D17" s="24" t="s">
        <v>123</v>
      </c>
      <c r="E17" s="79" t="s">
        <v>124</v>
      </c>
      <c r="F17" s="24" t="s">
        <v>125</v>
      </c>
      <c r="G17" s="88" t="s">
        <v>137</v>
      </c>
      <c r="H17" s="89"/>
      <c r="I17" s="89"/>
      <c r="J17" s="89"/>
      <c r="K17" s="90"/>
    </row>
    <row r="18" spans="1:11" ht="56.25">
      <c r="A18" s="79"/>
      <c r="B18" s="79"/>
      <c r="C18" s="79"/>
      <c r="D18" s="24" t="s">
        <v>128</v>
      </c>
      <c r="E18" s="79"/>
      <c r="F18" s="24" t="s">
        <v>88</v>
      </c>
      <c r="G18" s="91"/>
      <c r="H18" s="92"/>
      <c r="I18" s="92"/>
      <c r="J18" s="92"/>
      <c r="K18" s="93"/>
    </row>
    <row r="19" spans="1:11">
      <c r="A19" s="25">
        <v>1</v>
      </c>
      <c r="B19" s="31"/>
      <c r="C19" s="31"/>
      <c r="D19" s="31"/>
      <c r="E19" s="31"/>
      <c r="F19" s="31"/>
      <c r="G19" s="83"/>
      <c r="H19" s="83"/>
      <c r="I19" s="83"/>
      <c r="J19" s="83"/>
      <c r="K19" s="83"/>
    </row>
    <row r="20" spans="1:11">
      <c r="A20" s="25">
        <v>2</v>
      </c>
      <c r="B20" s="31"/>
      <c r="C20" s="31"/>
      <c r="D20" s="31"/>
      <c r="E20" s="31"/>
      <c r="F20" s="31"/>
      <c r="G20" s="83"/>
      <c r="H20" s="83"/>
      <c r="I20" s="83"/>
      <c r="J20" s="83"/>
      <c r="K20" s="83"/>
    </row>
    <row r="21" spans="1:11">
      <c r="A21" s="25">
        <v>3</v>
      </c>
      <c r="B21" s="31"/>
      <c r="C21" s="31"/>
      <c r="D21" s="31"/>
      <c r="E21" s="31"/>
      <c r="F21" s="31"/>
      <c r="G21" s="83"/>
      <c r="H21" s="83"/>
      <c r="I21" s="83"/>
      <c r="J21" s="83"/>
      <c r="K21" s="83"/>
    </row>
    <row r="22" spans="1:11">
      <c r="A22" s="79" t="s">
        <v>64</v>
      </c>
      <c r="B22" s="79"/>
      <c r="C22" s="24" t="s">
        <v>54</v>
      </c>
      <c r="D22" s="24">
        <v>0</v>
      </c>
      <c r="E22" s="24">
        <v>0</v>
      </c>
      <c r="F22" s="24">
        <v>0</v>
      </c>
      <c r="G22" s="84" t="s">
        <v>54</v>
      </c>
      <c r="H22" s="84"/>
      <c r="I22" s="84"/>
      <c r="J22" s="84"/>
      <c r="K22" s="84"/>
    </row>
    <row r="23" spans="1:11">
      <c r="A23" s="85"/>
      <c r="B23" s="35" t="s">
        <v>138</v>
      </c>
      <c r="C23" s="35"/>
      <c r="D23" s="35"/>
      <c r="E23" s="35"/>
      <c r="F23" s="35"/>
      <c r="G23" s="35"/>
      <c r="H23" s="35"/>
      <c r="I23" s="35"/>
      <c r="J23" s="35"/>
      <c r="K23" s="85"/>
    </row>
    <row r="24" spans="1:11">
      <c r="A24" s="85"/>
      <c r="B24" s="35"/>
      <c r="C24" s="35"/>
      <c r="D24" s="35"/>
      <c r="E24" s="35"/>
      <c r="F24" s="35"/>
      <c r="G24" s="35"/>
      <c r="H24" s="35"/>
      <c r="I24" s="35"/>
      <c r="J24" s="35"/>
      <c r="K24" s="85"/>
    </row>
    <row r="25" spans="1:11">
      <c r="A25" s="85"/>
      <c r="B25" s="35"/>
      <c r="C25" s="35"/>
      <c r="D25" s="35"/>
      <c r="E25" s="35"/>
      <c r="F25" s="35"/>
      <c r="G25" s="35"/>
      <c r="H25" s="35"/>
      <c r="I25" s="35"/>
      <c r="J25" s="35"/>
      <c r="K25" s="85"/>
    </row>
    <row r="26" spans="1:1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18.75" customHeight="1">
      <c r="A27" s="30"/>
      <c r="B27" s="87" t="s">
        <v>139</v>
      </c>
      <c r="C27" s="87"/>
      <c r="D27" s="30"/>
      <c r="E27" s="30"/>
      <c r="F27" s="30"/>
      <c r="G27" s="30"/>
      <c r="H27" s="30"/>
      <c r="I27" s="86"/>
      <c r="J27" s="86"/>
      <c r="K27" s="86"/>
    </row>
    <row r="28" spans="1:11" ht="37.5">
      <c r="A28" s="79" t="s">
        <v>120</v>
      </c>
      <c r="B28" s="79" t="s">
        <v>140</v>
      </c>
      <c r="C28" s="79" t="s">
        <v>122</v>
      </c>
      <c r="D28" s="79" t="s">
        <v>141</v>
      </c>
      <c r="E28" s="79" t="s">
        <v>142</v>
      </c>
      <c r="F28" s="24" t="s">
        <v>143</v>
      </c>
      <c r="G28" s="79" t="s">
        <v>144</v>
      </c>
      <c r="H28" s="79"/>
      <c r="I28" s="79"/>
      <c r="J28" s="79"/>
      <c r="K28" s="79"/>
    </row>
    <row r="29" spans="1:11">
      <c r="A29" s="79"/>
      <c r="B29" s="79"/>
      <c r="C29" s="79"/>
      <c r="D29" s="79"/>
      <c r="E29" s="79"/>
      <c r="F29" s="24" t="s">
        <v>88</v>
      </c>
      <c r="G29" s="79"/>
      <c r="H29" s="79"/>
      <c r="I29" s="79"/>
      <c r="J29" s="79"/>
      <c r="K29" s="79"/>
    </row>
    <row r="30" spans="1:11">
      <c r="A30" s="25">
        <v>1</v>
      </c>
      <c r="B30" s="31"/>
      <c r="C30" s="31"/>
      <c r="D30" s="31"/>
      <c r="E30" s="31"/>
      <c r="F30" s="31"/>
      <c r="G30" s="83"/>
      <c r="H30" s="83"/>
      <c r="I30" s="83"/>
      <c r="J30" s="83"/>
      <c r="K30" s="83"/>
    </row>
    <row r="31" spans="1:11">
      <c r="A31" s="25">
        <v>2</v>
      </c>
      <c r="B31" s="31"/>
      <c r="C31" s="31"/>
      <c r="D31" s="31"/>
      <c r="E31" s="31"/>
      <c r="F31" s="31"/>
      <c r="G31" s="83"/>
      <c r="H31" s="83"/>
      <c r="I31" s="83"/>
      <c r="J31" s="83"/>
      <c r="K31" s="83"/>
    </row>
    <row r="32" spans="1:11">
      <c r="A32" s="25">
        <v>3</v>
      </c>
      <c r="B32" s="31"/>
      <c r="C32" s="31"/>
      <c r="D32" s="31"/>
      <c r="E32" s="31"/>
      <c r="F32" s="31"/>
      <c r="G32" s="83"/>
      <c r="H32" s="83"/>
      <c r="I32" s="83"/>
      <c r="J32" s="83"/>
      <c r="K32" s="83"/>
    </row>
    <row r="33" spans="1:11">
      <c r="A33" s="79" t="s">
        <v>64</v>
      </c>
      <c r="B33" s="79"/>
      <c r="C33" s="31"/>
      <c r="D33" s="24">
        <v>0</v>
      </c>
      <c r="E33" s="24">
        <v>0</v>
      </c>
      <c r="F33" s="24">
        <v>0</v>
      </c>
      <c r="G33" s="84" t="s">
        <v>54</v>
      </c>
      <c r="H33" s="84"/>
      <c r="I33" s="84"/>
      <c r="J33" s="84"/>
      <c r="K33" s="84"/>
    </row>
    <row r="34" spans="1:11">
      <c r="B34" s="35" t="s">
        <v>145</v>
      </c>
    </row>
  </sheetData>
  <mergeCells count="37">
    <mergeCell ref="A7:A8"/>
    <mergeCell ref="B7:B8"/>
    <mergeCell ref="C7:C8"/>
    <mergeCell ref="E7:E8"/>
    <mergeCell ref="G7:H7"/>
    <mergeCell ref="B17:B18"/>
    <mergeCell ref="C17:C18"/>
    <mergeCell ref="E17:E18"/>
    <mergeCell ref="G17:K18"/>
    <mergeCell ref="I6:K6"/>
    <mergeCell ref="I7:K7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2024-10-31T03:05:21Z</dcterms:modified>
</cp:coreProperties>
</file>