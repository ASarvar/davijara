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Шартномалар" sheetId="6" r:id="rId1"/>
  </sheets>
  <definedNames>
    <definedName name="_xlnm._FilterDatabase" localSheetId="0" hidden="1">Шартномалар!$A$3:$N$57</definedName>
    <definedName name="_xlnm.Print_Area" localSheetId="0">Шартномалар!$A$1:$N$58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9" i="6" l="1"/>
  <c r="I50" i="6"/>
  <c r="I51" i="6"/>
  <c r="I52" i="6"/>
  <c r="I53" i="6"/>
  <c r="I54" i="6"/>
  <c r="I48" i="6"/>
  <c r="I37" i="6" l="1"/>
  <c r="I38" i="6"/>
  <c r="I39" i="6"/>
  <c r="I40" i="6"/>
  <c r="I41" i="6"/>
  <c r="I42" i="6"/>
  <c r="I43" i="6"/>
  <c r="I44" i="6"/>
  <c r="I45" i="6"/>
  <c r="I36" i="6"/>
  <c r="I35" i="6"/>
  <c r="I34" i="6"/>
  <c r="I33" i="6"/>
  <c r="I32" i="6"/>
  <c r="I31" i="6"/>
  <c r="I30" i="6"/>
  <c r="J13" i="6" l="1"/>
  <c r="J9" i="6"/>
</calcChain>
</file>

<file path=xl/sharedStrings.xml><?xml version="1.0" encoding="utf-8"?>
<sst xmlns="http://schemas.openxmlformats.org/spreadsheetml/2006/main" count="387" uniqueCount="137">
  <si>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</si>
  <si>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</si>
  <si>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</si>
  <si>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</si>
  <si>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</si>
  <si>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</si>
  <si>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</si>
  <si>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</si>
  <si>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</si>
  <si>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</si>
  <si>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</si>
  <si>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</si>
  <si>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</si>
  <si>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</si>
  <si>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</si>
  <si>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</si>
  <si>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</si>
  <si>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</si>
  <si>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</si>
  <si>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aprel</t>
  </si>
  <si>
    <t>1-chorak</t>
  </si>
  <si>
    <t>PAYITAHT XK</t>
  </si>
  <si>
    <t>budjetdan tashqari hisobidan</t>
  </si>
  <si>
    <t>2-chorak</t>
  </si>
  <si>
    <t>"UNICON-SOFT" МЧЖ</t>
  </si>
  <si>
    <t>OOO DRIVERS VILLAGE</t>
  </si>
  <si>
    <t>"UNG PETRO" МЧЖ</t>
  </si>
  <si>
    <t>Дирекция по эксплуатац.комплекс зданий ГКК РУз</t>
  </si>
  <si>
    <t>"O`ZBEKTELEKOM" АЖ</t>
  </si>
  <si>
    <t>UNIVERSAL MOBILE SYSTEMS МЧЖ</t>
  </si>
  <si>
    <t>"Uzdigital TV" МЧЖ</t>
  </si>
  <si>
    <t>360 000,00</t>
  </si>
  <si>
    <t>1 258 056,00</t>
  </si>
  <si>
    <t>Интернет VPN хизмати</t>
  </si>
  <si>
    <t>усл. Ед</t>
  </si>
  <si>
    <t>to'ridan to'gri</t>
  </si>
  <si>
    <t>Услуга телевидению</t>
  </si>
  <si>
    <t>Услуги по сотовой (мобильной) связи</t>
  </si>
  <si>
    <t>За услуги эл документаоборота "Ijro.gov.uz"</t>
  </si>
  <si>
    <t>За услуги интернет</t>
  </si>
  <si>
    <t>За бензин</t>
  </si>
  <si>
    <t>л</t>
  </si>
  <si>
    <t xml:space="preserve">Возмещению расходов по коммуналному обслуживанию </t>
  </si>
  <si>
    <t>месяц</t>
  </si>
  <si>
    <t>Услуга по замене запчастей автомобиля</t>
  </si>
  <si>
    <t>шт</t>
  </si>
  <si>
    <t>yanvar</t>
  </si>
  <si>
    <t>fevral</t>
  </si>
  <si>
    <t>эл. Магазин</t>
  </si>
  <si>
    <t>Единый поставщик</t>
  </si>
  <si>
    <t>усл. ед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</si>
  <si>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</si>
  <si>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ООО Единый интегратор по созданию и поддержке государственных информационных систем UZINFOCOM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</si>
  <si>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</si>
  <si>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"YANGI TEXNOLOGIYALAR ILMIY-AXBOROT MARKAZI" DAVLAT UNITAR KORXONASI</t>
  </si>
  <si>
    <t>43 383 471,42 </t>
  </si>
  <si>
    <t>520 601 657,04</t>
  </si>
  <si>
    <t>977 500 000</t>
  </si>
  <si>
    <t>REALSOFT MCHJ</t>
  </si>
  <si>
    <t>55 829 000</t>
  </si>
  <si>
    <t>Бумага для офисной техники белая</t>
  </si>
  <si>
    <t>пачка</t>
  </si>
  <si>
    <t>DESKFORM MCHJ</t>
  </si>
  <si>
    <t>Средний ремонт транспортных средств</t>
  </si>
  <si>
    <t xml:space="preserve">Замена запчастей </t>
  </si>
  <si>
    <t>BYD Song Plus Champion DM-i</t>
  </si>
  <si>
    <t>VKC</t>
  </si>
  <si>
    <t>BYD Chazor Flagship</t>
  </si>
  <si>
    <t>MK DIRECT MCHJ</t>
  </si>
  <si>
    <t>YO‘LDOSHEV AZIZBEK AZIMJONOVICH</t>
  </si>
  <si>
    <t>усл.ед</t>
  </si>
  <si>
    <t>"ISHONCH SUG'URTA KOMPANIYASI" AKSIYADORLIK JAMIYATI QO`SHMA KORXONA</t>
  </si>
  <si>
    <t>336 000,00 </t>
  </si>
  <si>
    <t>may</t>
  </si>
  <si>
    <t>"RESPUBLIKA MA`NAVIYAT VA MA`RIFAT MARKAZI HUZURIDAGI IJTIMOIY -MA`NAVIY TADQIQOTLAR INSTITUTI"</t>
  </si>
  <si>
    <t>520 000,00</t>
  </si>
  <si>
    <t>Услуги в области образования</t>
  </si>
  <si>
    <t>ООО ''BG TONER IMAGE''</t>
  </si>
  <si>
    <t>8 555 008,00</t>
  </si>
  <si>
    <t>Тонер</t>
  </si>
  <si>
    <t>16 704 040,00</t>
  </si>
  <si>
    <t>Услуга по установке дополнительного оборудования (сигнализация, радиоаппаратура и т.п.)</t>
  </si>
  <si>
    <t>Ручка канцелярская</t>
  </si>
  <si>
    <t>BULUNG`UR SHOHAZIMBEK MCHJ</t>
  </si>
  <si>
    <t>POWER MAX GROUP MCHJ</t>
  </si>
  <si>
    <t>Карандаши простые и цветные с грифелями в твердой оболочке</t>
  </si>
  <si>
    <t>ООО UMAKANSUL BUSINESS</t>
  </si>
  <si>
    <t>Бумага и изделия из бумаги</t>
  </si>
  <si>
    <t>ООО AZIZBEK KANS-WORLD</t>
  </si>
  <si>
    <t>Бумага для заметок</t>
  </si>
  <si>
    <t>упак</t>
  </si>
  <si>
    <t>KANS SHOP MCHJ</t>
  </si>
  <si>
    <t>пачк.</t>
  </si>
  <si>
    <t>Маркер</t>
  </si>
  <si>
    <t>Ластик</t>
  </si>
  <si>
    <t>Клей</t>
  </si>
  <si>
    <t>Перфофайл</t>
  </si>
  <si>
    <t>Канцелярский набор (настольный органайзер)</t>
  </si>
  <si>
    <t>Многофункциональное устройство (МФУ)</t>
  </si>
  <si>
    <t>Папка</t>
  </si>
  <si>
    <t>Принтер</t>
  </si>
  <si>
    <t>Программный продукт</t>
  </si>
  <si>
    <t>Персональный компьютер</t>
  </si>
  <si>
    <t>пач</t>
  </si>
  <si>
    <t>компл.</t>
  </si>
  <si>
    <t>XOLBOYEVA NILUFARXON OLIMJON QIZI</t>
  </si>
  <si>
    <t>ООО KANS ART SALES</t>
  </si>
  <si>
    <t>OOO "HENTEK SERVICE"</t>
  </si>
  <si>
    <t>ЧП SERGELI OBOD DIYOR</t>
  </si>
  <si>
    <t>MCHJ "Tashkei International" QK</t>
  </si>
  <si>
    <t>ABB TECH SERVICE</t>
  </si>
  <si>
    <t>BEGZODBEK OMINA BARAKA  MCHJ</t>
  </si>
  <si>
    <t>iyun</t>
  </si>
  <si>
    <t>Услуга по повышению профессиональной квалификации</t>
  </si>
  <si>
    <t>чел.</t>
  </si>
  <si>
    <t>3-chorak</t>
  </si>
  <si>
    <t>Скрепки металлические</t>
  </si>
  <si>
    <t>Услуга по сервисному обслуживанию компьютерного и офисного оборудования</t>
  </si>
  <si>
    <t>Картридж для принтера</t>
  </si>
  <si>
    <t>Услуга по техническому обслуживанию и ремонту прочих автотранспортных средств</t>
  </si>
  <si>
    <t>Тяговая аккумуляторная батарея</t>
  </si>
  <si>
    <t>Шины пневматические для легкового автомобиля</t>
  </si>
  <si>
    <t>YTT SHARIFOV MUROTALI ERGASHOVICH</t>
  </si>
  <si>
    <t>Фаргона "Автотеххизмат-Ф" МЧЖ</t>
  </si>
  <si>
    <t>GTI-GROUP MCHJ MMT</t>
  </si>
  <si>
    <t>YTT KARIMOV MUHRIDDIN ANVAR O‘G‘LI</t>
  </si>
  <si>
    <t>iyul</t>
  </si>
  <si>
    <t>avgust</t>
  </si>
  <si>
    <t>sentabr</t>
  </si>
  <si>
    <t>"MK DIRECT" MAS'ULIYATI CHEKLANGAN JAMIYAT XORIJIY KORXONA</t>
  </si>
  <si>
    <t>2 410 500,00</t>
  </si>
  <si>
    <t>O'ZBEKISTON RESPUBLIKASI ADLIYA VAZIRLIGI QOSHIDAGI YURISTLAR MALAKASINI OSHIRISH MARKAZI</t>
  </si>
  <si>
    <t>408 000,00</t>
  </si>
  <si>
    <t>Unicon.uz fan-texnika va marketing _x000B_tadqiqotlari markazi MCHJ</t>
  </si>
  <si>
    <t>740 925,00</t>
  </si>
  <si>
    <t>Защищенная электронная почта Е-ХАТ</t>
  </si>
  <si>
    <r>
      <t xml:space="preserve">Davlat aktivlarini boshqarish agentligining budjet va budjetdan tashqari mablagʻlari hisobiga 2024-yil </t>
    </r>
    <r>
      <rPr>
        <b/>
        <sz val="14"/>
        <color rgb="FFFF0000"/>
        <rFont val="Times New Roman"/>
        <family val="1"/>
        <charset val="204"/>
      </rPr>
      <t>yanvar-sentyabr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</si>
</sst>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0" applyNumberFormat="1" applyFont="1" applyFill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" fontId="1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zoomScale="70" zoomScaleNormal="70" zoomScaleSheetLayoutView="70" workbookViewId="0">
      <pane ySplit="3" topLeftCell="A49" activePane="bottomLeft" state="frozen"/>
      <selection pane="bottomLeft" activeCell="E39" sqref="E39"/>
    </sheetView>
  </sheetViews>
  <sheetFormatPr defaultColWidth="9.140625" defaultRowHeight="18.75" x14ac:dyDescent="0.25"/>
  <cols>
    <col min="1" max="1" width="7.7109375" style="18" customWidth="1"/>
    <col min="2" max="2" width="10.85546875" style="18" customWidth="1"/>
    <col min="3" max="3" width="16" style="19" customWidth="1"/>
    <col min="4" max="4" width="35" style="18" customWidth="1"/>
    <col min="5" max="5" width="22.7109375" style="20" customWidth="1"/>
    <col min="6" max="6" width="22.7109375" style="18" customWidth="1"/>
    <col min="7" max="7" width="28.140625" style="18" customWidth="1"/>
    <col min="8" max="8" width="12" style="18" customWidth="1"/>
    <col min="9" max="9" width="21.140625" style="5" customWidth="1"/>
    <col min="10" max="10" width="19.140625" style="21" customWidth="1"/>
    <col min="11" max="11" width="27.42578125" style="18" customWidth="1"/>
    <col min="12" max="12" width="24.85546875" style="18" customWidth="1"/>
    <col min="13" max="13" width="50.42578125" style="18" customWidth="1"/>
    <col min="14" max="14" width="25.85546875" style="18" customWidth="1"/>
    <col min="15" max="16384" width="9.140625" style="18"/>
  </cols>
  <sheetData>
    <row r="1" spans="1:14" x14ac:dyDescent="0.25">
      <c r="A1" s="24" t="s">
        <v>136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5">
      <c r="H2" s="18" t="s">
        <v>1</v>
      </c>
      <c r="N2" s="2" t="s">
        <v>2</v>
      </c>
    </row>
    <row r="3" spans="1:14" s="19" customFormat="1" ht="93.75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5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3" t="s">
        <v>22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x14ac:dyDescent="0.25">
      <c r="A5" s="23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x14ac:dyDescent="0.25">
      <c r="A6" s="13">
        <v>1</v>
      </c>
      <c r="B6" s="13" t="s">
        <v>46</v>
      </c>
      <c r="C6" s="17">
        <v>4252500</v>
      </c>
      <c r="D6" s="1" t="s">
        <v>40</v>
      </c>
      <c r="E6" s="6">
        <v>64995000</v>
      </c>
      <c r="F6" s="1" t="s">
        <v>18</v>
      </c>
      <c r="G6" s="7" t="s">
        <v>41</v>
      </c>
      <c r="H6" s="7">
        <v>6190</v>
      </c>
      <c r="I6" s="4">
        <v>10500</v>
      </c>
      <c r="J6" s="16">
        <v>64995000</v>
      </c>
      <c r="K6" s="1" t="s">
        <v>16</v>
      </c>
      <c r="L6" s="1" t="s">
        <v>35</v>
      </c>
      <c r="M6" s="1" t="s">
        <v>26</v>
      </c>
      <c r="N6" s="9">
        <v>1</v>
      </c>
    </row>
    <row r="7" spans="1:14" x14ac:dyDescent="0.25">
      <c r="A7" s="13">
        <v>2</v>
      </c>
      <c r="B7" s="13" t="s">
        <v>46</v>
      </c>
      <c r="C7" s="17">
        <v>4252500</v>
      </c>
      <c r="D7" s="1" t="s">
        <v>40</v>
      </c>
      <c r="E7" s="6">
        <v>19910400</v>
      </c>
      <c r="F7" s="1" t="s">
        <v>18</v>
      </c>
      <c r="G7" s="7" t="s">
        <v>41</v>
      </c>
      <c r="H7" s="7">
        <v>1592</v>
      </c>
      <c r="I7" s="4">
        <v>6800</v>
      </c>
      <c r="J7" s="16">
        <v>19900000</v>
      </c>
      <c r="K7" s="1" t="s">
        <v>16</v>
      </c>
      <c r="L7" s="1" t="s">
        <v>35</v>
      </c>
      <c r="M7" s="1" t="s">
        <v>26</v>
      </c>
      <c r="N7" s="9">
        <v>1</v>
      </c>
    </row>
    <row r="8" spans="1:14" x14ac:dyDescent="0.25">
      <c r="A8" s="13">
        <v>3</v>
      </c>
      <c r="B8" s="13" t="s">
        <v>46</v>
      </c>
      <c r="C8" s="17">
        <v>4292200</v>
      </c>
      <c r="D8" s="1" t="s">
        <v>33</v>
      </c>
      <c r="E8" s="6" t="s">
        <v>32</v>
      </c>
      <c r="F8" s="1" t="s">
        <v>18</v>
      </c>
      <c r="G8" s="7" t="s">
        <v>43</v>
      </c>
      <c r="H8" s="7">
        <v>12</v>
      </c>
      <c r="I8" s="4">
        <v>104838</v>
      </c>
      <c r="J8" s="16">
        <v>1258056</v>
      </c>
      <c r="K8" s="1" t="s">
        <v>16</v>
      </c>
      <c r="L8" s="1" t="s">
        <v>35</v>
      </c>
      <c r="M8" s="1" t="s">
        <v>28</v>
      </c>
      <c r="N8" s="9">
        <v>1</v>
      </c>
    </row>
    <row r="9" spans="1:14" x14ac:dyDescent="0.25">
      <c r="A9" s="13">
        <v>4</v>
      </c>
      <c r="B9" s="13" t="s">
        <v>46</v>
      </c>
      <c r="C9" s="17">
        <v>4292200</v>
      </c>
      <c r="D9" s="1" t="s">
        <v>39</v>
      </c>
      <c r="E9" s="6">
        <v>23880000</v>
      </c>
      <c r="F9" s="1" t="s">
        <v>18</v>
      </c>
      <c r="G9" s="7" t="s">
        <v>43</v>
      </c>
      <c r="H9" s="7">
        <v>12</v>
      </c>
      <c r="I9" s="4">
        <v>1990000</v>
      </c>
      <c r="J9" s="16">
        <f>I9*H9</f>
        <v>23880000</v>
      </c>
      <c r="K9" s="1" t="s">
        <v>16</v>
      </c>
      <c r="L9" s="1" t="s">
        <v>35</v>
      </c>
      <c r="M9" s="1" t="s">
        <v>28</v>
      </c>
      <c r="N9" s="9">
        <v>1</v>
      </c>
    </row>
    <row r="10" spans="1:14" ht="37.5" x14ac:dyDescent="0.25">
      <c r="A10" s="13">
        <v>5</v>
      </c>
      <c r="B10" s="13" t="s">
        <v>46</v>
      </c>
      <c r="C10" s="17">
        <v>4292200</v>
      </c>
      <c r="D10" s="1" t="s">
        <v>38</v>
      </c>
      <c r="E10" s="10">
        <v>14661360</v>
      </c>
      <c r="F10" s="1" t="s">
        <v>18</v>
      </c>
      <c r="G10" s="7" t="s">
        <v>43</v>
      </c>
      <c r="H10" s="7">
        <v>12</v>
      </c>
      <c r="I10" s="4">
        <v>1221780</v>
      </c>
      <c r="J10" s="16">
        <v>14661360</v>
      </c>
      <c r="K10" s="1" t="s">
        <v>16</v>
      </c>
      <c r="L10" s="1" t="s">
        <v>49</v>
      </c>
      <c r="M10" s="1" t="s">
        <v>24</v>
      </c>
      <c r="N10" s="9">
        <v>1</v>
      </c>
    </row>
    <row r="11" spans="1:14" ht="37.5" x14ac:dyDescent="0.25">
      <c r="A11" s="13">
        <v>6</v>
      </c>
      <c r="B11" s="13" t="s">
        <v>46</v>
      </c>
      <c r="C11" s="17">
        <v>4292100</v>
      </c>
      <c r="D11" s="1" t="s">
        <v>37</v>
      </c>
      <c r="E11" s="6" t="s">
        <v>31</v>
      </c>
      <c r="F11" s="1" t="s">
        <v>18</v>
      </c>
      <c r="G11" s="7" t="s">
        <v>43</v>
      </c>
      <c r="H11" s="7">
        <v>12</v>
      </c>
      <c r="I11" s="4">
        <v>360000</v>
      </c>
      <c r="J11" s="16">
        <v>360000</v>
      </c>
      <c r="K11" s="1" t="s">
        <v>16</v>
      </c>
      <c r="L11" s="1" t="s">
        <v>35</v>
      </c>
      <c r="M11" s="1" t="s">
        <v>29</v>
      </c>
      <c r="N11" s="9">
        <v>1</v>
      </c>
    </row>
    <row r="12" spans="1:14" x14ac:dyDescent="0.25">
      <c r="A12" s="13">
        <v>7</v>
      </c>
      <c r="B12" s="13" t="s">
        <v>46</v>
      </c>
      <c r="C12" s="17">
        <v>4292100</v>
      </c>
      <c r="D12" s="1" t="s">
        <v>36</v>
      </c>
      <c r="E12" s="6">
        <v>420000</v>
      </c>
      <c r="F12" s="1" t="s">
        <v>18</v>
      </c>
      <c r="G12" s="7" t="s">
        <v>43</v>
      </c>
      <c r="H12" s="7">
        <v>12</v>
      </c>
      <c r="I12" s="4">
        <v>35000</v>
      </c>
      <c r="J12" s="16">
        <v>420000</v>
      </c>
      <c r="K12" s="1" t="s">
        <v>16</v>
      </c>
      <c r="L12" s="1" t="s">
        <v>35</v>
      </c>
      <c r="M12" s="1" t="s">
        <v>30</v>
      </c>
      <c r="N12" s="9">
        <v>1</v>
      </c>
    </row>
    <row r="13" spans="1:14" ht="112.5" x14ac:dyDescent="0.25">
      <c r="A13" s="13">
        <v>8</v>
      </c>
      <c r="B13" s="13" t="s">
        <v>46</v>
      </c>
      <c r="C13" s="17">
        <v>4292200</v>
      </c>
      <c r="D13" s="1" t="s">
        <v>51</v>
      </c>
      <c r="E13" s="10">
        <v>4080000</v>
      </c>
      <c r="F13" s="1" t="s">
        <v>18</v>
      </c>
      <c r="G13" s="7" t="s">
        <v>34</v>
      </c>
      <c r="H13" s="7">
        <v>12</v>
      </c>
      <c r="I13" s="4">
        <v>340000</v>
      </c>
      <c r="J13" s="16">
        <f>I13*H13</f>
        <v>4080000</v>
      </c>
      <c r="K13" s="1" t="s">
        <v>16</v>
      </c>
      <c r="L13" s="1" t="s">
        <v>49</v>
      </c>
      <c r="M13" s="1" t="s">
        <v>54</v>
      </c>
      <c r="N13" s="9">
        <v>1</v>
      </c>
    </row>
    <row r="14" spans="1:14" ht="112.5" x14ac:dyDescent="0.25">
      <c r="A14" s="13">
        <v>9</v>
      </c>
      <c r="B14" s="13" t="s">
        <v>46</v>
      </c>
      <c r="C14" s="17">
        <v>4292200</v>
      </c>
      <c r="D14" s="1" t="s">
        <v>51</v>
      </c>
      <c r="E14" s="10">
        <v>7200000</v>
      </c>
      <c r="F14" s="1" t="s">
        <v>18</v>
      </c>
      <c r="G14" s="7" t="s">
        <v>43</v>
      </c>
      <c r="H14" s="7">
        <v>12</v>
      </c>
      <c r="I14" s="4">
        <v>600000</v>
      </c>
      <c r="J14" s="16">
        <v>7200000</v>
      </c>
      <c r="K14" s="1" t="s">
        <v>16</v>
      </c>
      <c r="L14" s="1" t="s">
        <v>49</v>
      </c>
      <c r="M14" s="1" t="s">
        <v>52</v>
      </c>
      <c r="N14" s="9">
        <v>1</v>
      </c>
    </row>
    <row r="15" spans="1:14" ht="37.5" x14ac:dyDescent="0.25">
      <c r="A15" s="13">
        <v>10</v>
      </c>
      <c r="B15" s="13" t="s">
        <v>47</v>
      </c>
      <c r="C15" s="17">
        <v>4299990</v>
      </c>
      <c r="D15" s="1" t="s">
        <v>42</v>
      </c>
      <c r="E15" s="6" t="s">
        <v>56</v>
      </c>
      <c r="F15" s="1" t="s">
        <v>18</v>
      </c>
      <c r="G15" s="7" t="s">
        <v>43</v>
      </c>
      <c r="H15" s="7">
        <v>12</v>
      </c>
      <c r="I15" s="4" t="s">
        <v>55</v>
      </c>
      <c r="J15" s="16" t="s">
        <v>56</v>
      </c>
      <c r="K15" s="1" t="s">
        <v>16</v>
      </c>
      <c r="L15" s="1" t="s">
        <v>35</v>
      </c>
      <c r="M15" s="1" t="s">
        <v>27</v>
      </c>
      <c r="N15" s="9">
        <v>1</v>
      </c>
    </row>
    <row r="16" spans="1:14" ht="112.5" x14ac:dyDescent="0.25">
      <c r="A16" s="13">
        <v>11</v>
      </c>
      <c r="B16" s="13" t="s">
        <v>47</v>
      </c>
      <c r="C16" s="17">
        <v>4299990</v>
      </c>
      <c r="D16" s="1" t="s">
        <v>51</v>
      </c>
      <c r="E16" s="6" t="s">
        <v>57</v>
      </c>
      <c r="F16" s="1" t="s">
        <v>18</v>
      </c>
      <c r="G16" s="7" t="s">
        <v>34</v>
      </c>
      <c r="H16" s="7">
        <v>1</v>
      </c>
      <c r="I16" s="4" t="s">
        <v>57</v>
      </c>
      <c r="J16" s="16" t="s">
        <v>57</v>
      </c>
      <c r="K16" s="1" t="s">
        <v>16</v>
      </c>
      <c r="L16" s="1" t="s">
        <v>35</v>
      </c>
      <c r="M16" s="1" t="s">
        <v>58</v>
      </c>
      <c r="N16" s="9">
        <v>1</v>
      </c>
    </row>
    <row r="17" spans="1:14" ht="37.5" x14ac:dyDescent="0.25">
      <c r="A17" s="13">
        <v>12</v>
      </c>
      <c r="B17" s="13" t="s">
        <v>15</v>
      </c>
      <c r="C17" s="17">
        <v>4234100</v>
      </c>
      <c r="D17" s="1" t="s">
        <v>44</v>
      </c>
      <c r="E17" s="6" t="s">
        <v>59</v>
      </c>
      <c r="F17" s="1" t="s">
        <v>18</v>
      </c>
      <c r="G17" s="7" t="s">
        <v>34</v>
      </c>
      <c r="H17" s="7">
        <v>1</v>
      </c>
      <c r="I17" s="4" t="s">
        <v>59</v>
      </c>
      <c r="J17" s="16" t="s">
        <v>59</v>
      </c>
      <c r="K17" s="1" t="s">
        <v>16</v>
      </c>
      <c r="L17" s="1" t="s">
        <v>35</v>
      </c>
      <c r="M17" s="1" t="s">
        <v>25</v>
      </c>
      <c r="N17" s="9">
        <v>1</v>
      </c>
    </row>
    <row r="18" spans="1:14" ht="37.5" x14ac:dyDescent="0.25">
      <c r="A18" s="13">
        <v>13</v>
      </c>
      <c r="B18" s="13" t="s">
        <v>47</v>
      </c>
      <c r="C18" s="1">
        <v>4252120</v>
      </c>
      <c r="D18" s="1" t="s">
        <v>60</v>
      </c>
      <c r="E18" s="6">
        <v>1650000</v>
      </c>
      <c r="F18" s="1" t="s">
        <v>18</v>
      </c>
      <c r="G18" s="7" t="s">
        <v>61</v>
      </c>
      <c r="H18" s="7">
        <v>50</v>
      </c>
      <c r="I18" s="4">
        <v>33000</v>
      </c>
      <c r="J18" s="16">
        <v>1650000</v>
      </c>
      <c r="K18" s="1" t="s">
        <v>16</v>
      </c>
      <c r="L18" s="1" t="s">
        <v>48</v>
      </c>
      <c r="M18" s="1" t="s">
        <v>62</v>
      </c>
      <c r="N18" s="9">
        <v>1</v>
      </c>
    </row>
    <row r="19" spans="1:14" ht="37.5" x14ac:dyDescent="0.25">
      <c r="A19" s="13">
        <v>14</v>
      </c>
      <c r="B19" s="13" t="s">
        <v>47</v>
      </c>
      <c r="C19" s="1">
        <v>4234100</v>
      </c>
      <c r="D19" s="1" t="s">
        <v>63</v>
      </c>
      <c r="E19" s="6">
        <v>7499950</v>
      </c>
      <c r="F19" s="1" t="s">
        <v>18</v>
      </c>
      <c r="G19" s="7" t="s">
        <v>50</v>
      </c>
      <c r="H19" s="7">
        <v>1</v>
      </c>
      <c r="I19" s="4">
        <v>7499950</v>
      </c>
      <c r="J19" s="16">
        <v>7499950</v>
      </c>
      <c r="K19" s="1" t="s">
        <v>16</v>
      </c>
      <c r="L19" s="1" t="s">
        <v>48</v>
      </c>
      <c r="M19" s="1" t="s">
        <v>21</v>
      </c>
      <c r="N19" s="9">
        <v>1</v>
      </c>
    </row>
    <row r="20" spans="1:14" x14ac:dyDescent="0.25">
      <c r="A20" s="13">
        <v>15</v>
      </c>
      <c r="B20" s="13" t="s">
        <v>47</v>
      </c>
      <c r="C20" s="1">
        <v>4234100</v>
      </c>
      <c r="D20" s="1" t="s">
        <v>64</v>
      </c>
      <c r="E20" s="6">
        <v>1999950</v>
      </c>
      <c r="F20" s="1" t="s">
        <v>18</v>
      </c>
      <c r="G20" s="7" t="s">
        <v>50</v>
      </c>
      <c r="H20" s="7">
        <v>1</v>
      </c>
      <c r="I20" s="4">
        <v>1999950</v>
      </c>
      <c r="J20" s="16">
        <v>1999950</v>
      </c>
      <c r="K20" s="1" t="s">
        <v>16</v>
      </c>
      <c r="L20" s="1" t="s">
        <v>48</v>
      </c>
      <c r="M20" s="1" t="s">
        <v>21</v>
      </c>
      <c r="N20" s="9">
        <v>1</v>
      </c>
    </row>
    <row r="21" spans="1:14" x14ac:dyDescent="0.25">
      <c r="A21" s="13">
        <v>17</v>
      </c>
      <c r="B21" s="13" t="s">
        <v>15</v>
      </c>
      <c r="C21" s="1">
        <v>4299990</v>
      </c>
      <c r="D21" s="1" t="s">
        <v>66</v>
      </c>
      <c r="E21" s="6">
        <v>1640000</v>
      </c>
      <c r="F21" s="1" t="s">
        <v>18</v>
      </c>
      <c r="G21" s="7" t="s">
        <v>70</v>
      </c>
      <c r="H21" s="7">
        <v>1</v>
      </c>
      <c r="I21" s="4">
        <v>1640000</v>
      </c>
      <c r="J21" s="16">
        <v>1640000</v>
      </c>
      <c r="K21" s="1" t="s">
        <v>16</v>
      </c>
      <c r="L21" s="1" t="s">
        <v>48</v>
      </c>
      <c r="M21" s="1" t="s">
        <v>69</v>
      </c>
      <c r="N21" s="9">
        <v>1</v>
      </c>
    </row>
    <row r="22" spans="1:14" x14ac:dyDescent="0.25">
      <c r="A22" s="23" t="s">
        <v>22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x14ac:dyDescent="0.25">
      <c r="A23" s="23" t="s">
        <v>23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x14ac:dyDescent="0.25">
      <c r="A24" s="13">
        <v>16</v>
      </c>
      <c r="B24" s="13" t="s">
        <v>19</v>
      </c>
      <c r="C24" s="1">
        <v>4354100</v>
      </c>
      <c r="D24" s="1" t="s">
        <v>65</v>
      </c>
      <c r="E24" s="6">
        <v>409700000</v>
      </c>
      <c r="F24" s="1" t="s">
        <v>18</v>
      </c>
      <c r="G24" s="7" t="s">
        <v>45</v>
      </c>
      <c r="H24" s="7">
        <v>1</v>
      </c>
      <c r="I24" s="4">
        <v>409700000</v>
      </c>
      <c r="J24" s="16">
        <v>409700000</v>
      </c>
      <c r="K24" s="1" t="s">
        <v>16</v>
      </c>
      <c r="L24" s="1" t="s">
        <v>48</v>
      </c>
      <c r="M24" s="1" t="s">
        <v>68</v>
      </c>
      <c r="N24" s="9">
        <v>1</v>
      </c>
    </row>
    <row r="25" spans="1:14" x14ac:dyDescent="0.25">
      <c r="A25" s="13">
        <v>18</v>
      </c>
      <c r="B25" s="13" t="s">
        <v>19</v>
      </c>
      <c r="C25" s="1">
        <v>4354100</v>
      </c>
      <c r="D25" s="1" t="s">
        <v>67</v>
      </c>
      <c r="E25" s="6">
        <v>314328000</v>
      </c>
      <c r="F25" s="1" t="s">
        <v>18</v>
      </c>
      <c r="G25" s="7" t="s">
        <v>45</v>
      </c>
      <c r="H25" s="7">
        <v>1</v>
      </c>
      <c r="I25" s="4">
        <v>314328000</v>
      </c>
      <c r="J25" s="16">
        <v>314328000</v>
      </c>
      <c r="K25" s="1" t="s">
        <v>16</v>
      </c>
      <c r="L25" s="1" t="s">
        <v>48</v>
      </c>
      <c r="M25" s="1" t="s">
        <v>68</v>
      </c>
      <c r="N25" s="9">
        <v>1</v>
      </c>
    </row>
    <row r="26" spans="1:14" ht="114" customHeight="1" x14ac:dyDescent="0.25">
      <c r="A26" s="13">
        <v>19</v>
      </c>
      <c r="B26" s="13" t="s">
        <v>73</v>
      </c>
      <c r="C26" s="1">
        <v>4821190</v>
      </c>
      <c r="D26" s="1" t="s">
        <v>53</v>
      </c>
      <c r="E26" s="6" t="s">
        <v>72</v>
      </c>
      <c r="F26" s="1" t="s">
        <v>18</v>
      </c>
      <c r="G26" s="7" t="s">
        <v>45</v>
      </c>
      <c r="H26" s="7">
        <v>2</v>
      </c>
      <c r="I26" s="4">
        <v>168000</v>
      </c>
      <c r="J26" s="16" t="s">
        <v>72</v>
      </c>
      <c r="K26" s="1" t="s">
        <v>16</v>
      </c>
      <c r="L26" s="1" t="s">
        <v>35</v>
      </c>
      <c r="M26" s="1" t="s">
        <v>71</v>
      </c>
      <c r="N26" s="9">
        <v>1</v>
      </c>
    </row>
    <row r="27" spans="1:14" ht="56.25" x14ac:dyDescent="0.25">
      <c r="A27" s="13">
        <v>20</v>
      </c>
      <c r="B27" s="13" t="s">
        <v>73</v>
      </c>
      <c r="C27" s="1">
        <v>4291000</v>
      </c>
      <c r="D27" s="1" t="s">
        <v>76</v>
      </c>
      <c r="E27" s="6" t="s">
        <v>75</v>
      </c>
      <c r="F27" s="1" t="s">
        <v>18</v>
      </c>
      <c r="G27" s="7" t="s">
        <v>45</v>
      </c>
      <c r="H27" s="7">
        <v>1</v>
      </c>
      <c r="I27" s="4" t="s">
        <v>75</v>
      </c>
      <c r="J27" s="16" t="s">
        <v>75</v>
      </c>
      <c r="K27" s="1" t="s">
        <v>16</v>
      </c>
      <c r="L27" s="1" t="s">
        <v>35</v>
      </c>
      <c r="M27" s="1" t="s">
        <v>74</v>
      </c>
      <c r="N27" s="9">
        <v>1</v>
      </c>
    </row>
    <row r="28" spans="1:14" x14ac:dyDescent="0.25">
      <c r="A28" s="13">
        <v>21</v>
      </c>
      <c r="B28" s="13" t="s">
        <v>73</v>
      </c>
      <c r="C28" s="1">
        <v>4234920</v>
      </c>
      <c r="D28" s="1" t="s">
        <v>79</v>
      </c>
      <c r="E28" s="6">
        <v>600000</v>
      </c>
      <c r="F28" s="1" t="s">
        <v>18</v>
      </c>
      <c r="G28" s="7" t="s">
        <v>45</v>
      </c>
      <c r="H28" s="7">
        <v>16</v>
      </c>
      <c r="I28" s="4">
        <v>534688</v>
      </c>
      <c r="J28" s="16" t="s">
        <v>78</v>
      </c>
      <c r="K28" s="1" t="s">
        <v>16</v>
      </c>
      <c r="L28" s="1" t="s">
        <v>48</v>
      </c>
      <c r="M28" s="1" t="s">
        <v>77</v>
      </c>
      <c r="N28" s="9">
        <v>1</v>
      </c>
    </row>
    <row r="29" spans="1:14" ht="132" customHeight="1" x14ac:dyDescent="0.25">
      <c r="A29" s="13">
        <v>22</v>
      </c>
      <c r="B29" s="13" t="s">
        <v>73</v>
      </c>
      <c r="C29" s="1">
        <v>4234100</v>
      </c>
      <c r="D29" s="1" t="s">
        <v>81</v>
      </c>
      <c r="E29" s="6">
        <v>16999000</v>
      </c>
      <c r="F29" s="1" t="s">
        <v>18</v>
      </c>
      <c r="G29" s="7" t="s">
        <v>45</v>
      </c>
      <c r="H29" s="7">
        <v>1</v>
      </c>
      <c r="I29" s="4" t="s">
        <v>80</v>
      </c>
      <c r="J29" s="16" t="s">
        <v>80</v>
      </c>
      <c r="K29" s="1" t="s">
        <v>16</v>
      </c>
      <c r="L29" s="1" t="s">
        <v>48</v>
      </c>
      <c r="M29" s="1" t="s">
        <v>68</v>
      </c>
      <c r="N29" s="9">
        <v>1</v>
      </c>
    </row>
    <row r="30" spans="1:14" ht="37.5" x14ac:dyDescent="0.25">
      <c r="A30" s="13">
        <v>24</v>
      </c>
      <c r="B30" s="13" t="s">
        <v>73</v>
      </c>
      <c r="C30" s="1">
        <v>4252120</v>
      </c>
      <c r="D30" s="1" t="s">
        <v>60</v>
      </c>
      <c r="E30" s="6">
        <v>5400000</v>
      </c>
      <c r="F30" s="1" t="s">
        <v>18</v>
      </c>
      <c r="G30" s="7" t="s">
        <v>61</v>
      </c>
      <c r="H30" s="7">
        <v>120</v>
      </c>
      <c r="I30" s="4">
        <f t="shared" ref="I30:I36" si="0">J30/H30</f>
        <v>36400</v>
      </c>
      <c r="J30" s="16">
        <v>4368000</v>
      </c>
      <c r="K30" s="1" t="s">
        <v>16</v>
      </c>
      <c r="L30" s="1" t="s">
        <v>48</v>
      </c>
      <c r="M30" s="1" t="s">
        <v>62</v>
      </c>
      <c r="N30" s="9">
        <v>1</v>
      </c>
    </row>
    <row r="31" spans="1:14" x14ac:dyDescent="0.25">
      <c r="A31" s="14">
        <v>25</v>
      </c>
      <c r="B31" s="14" t="s">
        <v>73</v>
      </c>
      <c r="C31" s="1">
        <v>4252110</v>
      </c>
      <c r="D31" s="1" t="s">
        <v>82</v>
      </c>
      <c r="E31" s="6">
        <v>750000</v>
      </c>
      <c r="F31" s="1" t="s">
        <v>18</v>
      </c>
      <c r="G31" s="7" t="s">
        <v>45</v>
      </c>
      <c r="H31" s="7">
        <v>150</v>
      </c>
      <c r="I31" s="4">
        <f t="shared" si="0"/>
        <v>1230</v>
      </c>
      <c r="J31" s="16">
        <v>184500</v>
      </c>
      <c r="K31" s="1" t="s">
        <v>16</v>
      </c>
      <c r="L31" s="1" t="s">
        <v>48</v>
      </c>
      <c r="M31" s="1" t="s">
        <v>83</v>
      </c>
      <c r="N31" s="9">
        <v>1</v>
      </c>
    </row>
    <row r="32" spans="1:14" x14ac:dyDescent="0.25">
      <c r="A32" s="14">
        <v>26</v>
      </c>
      <c r="B32" s="14" t="s">
        <v>73</v>
      </c>
      <c r="C32" s="1">
        <v>4252110</v>
      </c>
      <c r="D32" s="1" t="s">
        <v>82</v>
      </c>
      <c r="E32" s="6">
        <v>900000</v>
      </c>
      <c r="F32" s="1" t="s">
        <v>18</v>
      </c>
      <c r="G32" s="7" t="s">
        <v>45</v>
      </c>
      <c r="H32" s="7">
        <v>50</v>
      </c>
      <c r="I32" s="4">
        <f t="shared" si="0"/>
        <v>13888</v>
      </c>
      <c r="J32" s="16">
        <v>694400</v>
      </c>
      <c r="K32" s="1" t="s">
        <v>16</v>
      </c>
      <c r="L32" s="1" t="s">
        <v>48</v>
      </c>
      <c r="M32" s="1" t="s">
        <v>84</v>
      </c>
      <c r="N32" s="9">
        <v>1</v>
      </c>
    </row>
    <row r="33" spans="1:14" ht="56.25" x14ac:dyDescent="0.25">
      <c r="A33" s="14">
        <v>27</v>
      </c>
      <c r="B33" s="14" t="s">
        <v>73</v>
      </c>
      <c r="C33" s="1">
        <v>4252110</v>
      </c>
      <c r="D33" s="1" t="s">
        <v>85</v>
      </c>
      <c r="E33" s="6">
        <v>100000</v>
      </c>
      <c r="F33" s="1" t="s">
        <v>18</v>
      </c>
      <c r="G33" s="1" t="s">
        <v>45</v>
      </c>
      <c r="H33" s="7">
        <v>100</v>
      </c>
      <c r="I33" s="4">
        <f t="shared" si="0"/>
        <v>900</v>
      </c>
      <c r="J33" s="16">
        <v>90000</v>
      </c>
      <c r="K33" s="1" t="s">
        <v>16</v>
      </c>
      <c r="L33" s="1" t="s">
        <v>48</v>
      </c>
      <c r="M33" s="1" t="s">
        <v>86</v>
      </c>
      <c r="N33" s="9">
        <v>1</v>
      </c>
    </row>
    <row r="34" spans="1:14" x14ac:dyDescent="0.25">
      <c r="A34" s="14">
        <v>28</v>
      </c>
      <c r="B34" s="14" t="s">
        <v>73</v>
      </c>
      <c r="C34" s="1">
        <v>4252110</v>
      </c>
      <c r="D34" s="1" t="s">
        <v>87</v>
      </c>
      <c r="E34" s="6">
        <v>1410000</v>
      </c>
      <c r="F34" s="1" t="s">
        <v>18</v>
      </c>
      <c r="G34" s="1" t="s">
        <v>92</v>
      </c>
      <c r="H34" s="7">
        <v>150</v>
      </c>
      <c r="I34" s="4">
        <f t="shared" si="0"/>
        <v>5400</v>
      </c>
      <c r="J34" s="16">
        <v>810000</v>
      </c>
      <c r="K34" s="1" t="s">
        <v>16</v>
      </c>
      <c r="L34" s="1" t="s">
        <v>48</v>
      </c>
      <c r="M34" s="1" t="s">
        <v>88</v>
      </c>
      <c r="N34" s="9">
        <v>1</v>
      </c>
    </row>
    <row r="35" spans="1:14" x14ac:dyDescent="0.25">
      <c r="A35" s="14">
        <v>29</v>
      </c>
      <c r="B35" s="14" t="s">
        <v>73</v>
      </c>
      <c r="C35" s="1">
        <v>4252110</v>
      </c>
      <c r="D35" s="1" t="s">
        <v>89</v>
      </c>
      <c r="E35" s="6">
        <v>1250000</v>
      </c>
      <c r="F35" s="1" t="s">
        <v>18</v>
      </c>
      <c r="G35" s="1" t="s">
        <v>90</v>
      </c>
      <c r="H35" s="7">
        <v>50</v>
      </c>
      <c r="I35" s="4">
        <f t="shared" si="0"/>
        <v>14990</v>
      </c>
      <c r="J35" s="16">
        <v>749500</v>
      </c>
      <c r="K35" s="1" t="s">
        <v>16</v>
      </c>
      <c r="L35" s="1" t="s">
        <v>48</v>
      </c>
      <c r="M35" s="1" t="s">
        <v>91</v>
      </c>
      <c r="N35" s="9">
        <v>1</v>
      </c>
    </row>
    <row r="36" spans="1:14" x14ac:dyDescent="0.25">
      <c r="A36" s="14">
        <v>30</v>
      </c>
      <c r="B36" s="14" t="s">
        <v>73</v>
      </c>
      <c r="C36" s="1">
        <v>4252110</v>
      </c>
      <c r="D36" s="1" t="s">
        <v>93</v>
      </c>
      <c r="E36" s="6">
        <v>1300000</v>
      </c>
      <c r="F36" s="1" t="s">
        <v>18</v>
      </c>
      <c r="G36" s="1" t="s">
        <v>92</v>
      </c>
      <c r="H36" s="7">
        <v>20</v>
      </c>
      <c r="I36" s="4">
        <f t="shared" si="0"/>
        <v>29880</v>
      </c>
      <c r="J36" s="16">
        <v>597600</v>
      </c>
      <c r="K36" s="1" t="s">
        <v>16</v>
      </c>
      <c r="L36" s="1" t="s">
        <v>48</v>
      </c>
      <c r="M36" s="1" t="s">
        <v>84</v>
      </c>
      <c r="N36" s="9">
        <v>1</v>
      </c>
    </row>
    <row r="37" spans="1:14" ht="37.5" x14ac:dyDescent="0.25">
      <c r="A37" s="14">
        <v>31</v>
      </c>
      <c r="B37" s="14" t="s">
        <v>73</v>
      </c>
      <c r="C37" s="1">
        <v>4252110</v>
      </c>
      <c r="D37" s="1" t="s">
        <v>94</v>
      </c>
      <c r="E37" s="6">
        <v>80000</v>
      </c>
      <c r="F37" s="1" t="s">
        <v>18</v>
      </c>
      <c r="G37" s="1" t="s">
        <v>45</v>
      </c>
      <c r="H37" s="7">
        <v>20</v>
      </c>
      <c r="I37" s="4">
        <f t="shared" ref="I37:I45" si="1">J37/H37</f>
        <v>3985</v>
      </c>
      <c r="J37" s="16">
        <v>79700</v>
      </c>
      <c r="K37" s="1" t="s">
        <v>16</v>
      </c>
      <c r="L37" s="1" t="s">
        <v>48</v>
      </c>
      <c r="M37" s="1" t="s">
        <v>105</v>
      </c>
      <c r="N37" s="9">
        <v>1</v>
      </c>
    </row>
    <row r="38" spans="1:14" x14ac:dyDescent="0.25">
      <c r="A38" s="14">
        <v>32</v>
      </c>
      <c r="B38" s="14" t="s">
        <v>73</v>
      </c>
      <c r="C38" s="1">
        <v>4252110</v>
      </c>
      <c r="D38" s="1" t="s">
        <v>95</v>
      </c>
      <c r="E38" s="6">
        <v>450000</v>
      </c>
      <c r="F38" s="1" t="s">
        <v>18</v>
      </c>
      <c r="G38" s="1" t="s">
        <v>45</v>
      </c>
      <c r="H38" s="7">
        <v>30</v>
      </c>
      <c r="I38" s="4">
        <f t="shared" si="1"/>
        <v>9500</v>
      </c>
      <c r="J38" s="16">
        <v>285000</v>
      </c>
      <c r="K38" s="1" t="s">
        <v>16</v>
      </c>
      <c r="L38" s="1" t="s">
        <v>48</v>
      </c>
      <c r="M38" s="1" t="s">
        <v>91</v>
      </c>
      <c r="N38" s="9">
        <v>1</v>
      </c>
    </row>
    <row r="39" spans="1:14" x14ac:dyDescent="0.25">
      <c r="A39" s="14">
        <v>33</v>
      </c>
      <c r="B39" s="14" t="s">
        <v>73</v>
      </c>
      <c r="C39" s="1">
        <v>4252110</v>
      </c>
      <c r="D39" s="1" t="s">
        <v>96</v>
      </c>
      <c r="E39" s="6">
        <v>1600000</v>
      </c>
      <c r="F39" s="1" t="s">
        <v>18</v>
      </c>
      <c r="G39" s="1" t="s">
        <v>103</v>
      </c>
      <c r="H39" s="7">
        <v>40</v>
      </c>
      <c r="I39" s="4">
        <f t="shared" si="1"/>
        <v>22222</v>
      </c>
      <c r="J39" s="16">
        <v>888880</v>
      </c>
      <c r="K39" s="1" t="s">
        <v>16</v>
      </c>
      <c r="L39" s="1" t="s">
        <v>48</v>
      </c>
      <c r="M39" s="1" t="s">
        <v>106</v>
      </c>
      <c r="N39" s="9">
        <v>1</v>
      </c>
    </row>
    <row r="40" spans="1:14" ht="37.5" x14ac:dyDescent="0.25">
      <c r="A40" s="14">
        <v>34</v>
      </c>
      <c r="B40" s="14" t="s">
        <v>73</v>
      </c>
      <c r="C40" s="1">
        <v>4252110</v>
      </c>
      <c r="D40" s="1" t="s">
        <v>97</v>
      </c>
      <c r="E40" s="6">
        <v>1100000</v>
      </c>
      <c r="F40" s="1" t="s">
        <v>18</v>
      </c>
      <c r="G40" s="1" t="s">
        <v>45</v>
      </c>
      <c r="H40" s="7">
        <v>10</v>
      </c>
      <c r="I40" s="4">
        <f t="shared" si="1"/>
        <v>85448</v>
      </c>
      <c r="J40" s="16">
        <v>854480</v>
      </c>
      <c r="K40" s="1" t="s">
        <v>16</v>
      </c>
      <c r="L40" s="1" t="s">
        <v>48</v>
      </c>
      <c r="M40" s="1" t="s">
        <v>84</v>
      </c>
      <c r="N40" s="9">
        <v>1</v>
      </c>
    </row>
    <row r="41" spans="1:14" ht="37.5" x14ac:dyDescent="0.25">
      <c r="A41" s="14">
        <v>35</v>
      </c>
      <c r="B41" s="14" t="s">
        <v>112</v>
      </c>
      <c r="C41" s="1">
        <v>4354920</v>
      </c>
      <c r="D41" s="1" t="s">
        <v>98</v>
      </c>
      <c r="E41" s="6">
        <v>52000000</v>
      </c>
      <c r="F41" s="1" t="s">
        <v>18</v>
      </c>
      <c r="G41" s="1" t="s">
        <v>104</v>
      </c>
      <c r="H41" s="7">
        <v>1</v>
      </c>
      <c r="I41" s="4">
        <f t="shared" si="1"/>
        <v>47890000</v>
      </c>
      <c r="J41" s="16">
        <v>47890000</v>
      </c>
      <c r="K41" s="1" t="s">
        <v>16</v>
      </c>
      <c r="L41" s="1" t="s">
        <v>48</v>
      </c>
      <c r="M41" s="1" t="s">
        <v>107</v>
      </c>
      <c r="N41" s="9">
        <v>1</v>
      </c>
    </row>
    <row r="42" spans="1:14" x14ac:dyDescent="0.25">
      <c r="A42" s="14">
        <v>36</v>
      </c>
      <c r="B42" s="14" t="s">
        <v>112</v>
      </c>
      <c r="C42" s="1">
        <v>4252110</v>
      </c>
      <c r="D42" s="1" t="s">
        <v>99</v>
      </c>
      <c r="E42" s="6">
        <v>4000000</v>
      </c>
      <c r="F42" s="1" t="s">
        <v>18</v>
      </c>
      <c r="G42" s="1" t="s">
        <v>45</v>
      </c>
      <c r="H42" s="7">
        <v>100</v>
      </c>
      <c r="I42" s="4">
        <f t="shared" si="1"/>
        <v>18950</v>
      </c>
      <c r="J42" s="16">
        <v>1895000</v>
      </c>
      <c r="K42" s="1" t="s">
        <v>16</v>
      </c>
      <c r="L42" s="1" t="s">
        <v>48</v>
      </c>
      <c r="M42" s="1" t="s">
        <v>108</v>
      </c>
      <c r="N42" s="9">
        <v>1</v>
      </c>
    </row>
    <row r="43" spans="1:14" x14ac:dyDescent="0.25">
      <c r="A43" s="14">
        <v>37</v>
      </c>
      <c r="B43" s="14" t="s">
        <v>112</v>
      </c>
      <c r="C43" s="1">
        <v>4354920</v>
      </c>
      <c r="D43" s="1" t="s">
        <v>100</v>
      </c>
      <c r="E43" s="6">
        <v>18400000</v>
      </c>
      <c r="F43" s="1" t="s">
        <v>18</v>
      </c>
      <c r="G43" s="1" t="s">
        <v>45</v>
      </c>
      <c r="H43" s="7">
        <v>4</v>
      </c>
      <c r="I43" s="4">
        <f t="shared" si="1"/>
        <v>3910000</v>
      </c>
      <c r="J43" s="16">
        <v>15640000</v>
      </c>
      <c r="K43" s="1" t="s">
        <v>16</v>
      </c>
      <c r="L43" s="1" t="s">
        <v>48</v>
      </c>
      <c r="M43" s="1" t="s">
        <v>109</v>
      </c>
      <c r="N43" s="9">
        <v>1</v>
      </c>
    </row>
    <row r="44" spans="1:14" x14ac:dyDescent="0.25">
      <c r="A44" s="14">
        <v>38</v>
      </c>
      <c r="B44" s="14" t="s">
        <v>112</v>
      </c>
      <c r="C44" s="1">
        <v>4299990</v>
      </c>
      <c r="D44" s="1" t="s">
        <v>101</v>
      </c>
      <c r="E44" s="6">
        <v>36774000</v>
      </c>
      <c r="F44" s="1" t="s">
        <v>18</v>
      </c>
      <c r="G44" s="1" t="s">
        <v>45</v>
      </c>
      <c r="H44" s="7">
        <v>30</v>
      </c>
      <c r="I44" s="4">
        <f t="shared" si="1"/>
        <v>993300</v>
      </c>
      <c r="J44" s="16">
        <v>29799000</v>
      </c>
      <c r="K44" s="1" t="s">
        <v>16</v>
      </c>
      <c r="L44" s="1" t="s">
        <v>48</v>
      </c>
      <c r="M44" s="1" t="s">
        <v>110</v>
      </c>
      <c r="N44" s="9">
        <v>1</v>
      </c>
    </row>
    <row r="45" spans="1:14" x14ac:dyDescent="0.25">
      <c r="A45" s="14">
        <v>39</v>
      </c>
      <c r="B45" s="14" t="s">
        <v>112</v>
      </c>
      <c r="C45" s="1">
        <v>4354920</v>
      </c>
      <c r="D45" s="1" t="s">
        <v>102</v>
      </c>
      <c r="E45" s="6">
        <v>290250000</v>
      </c>
      <c r="F45" s="1" t="s">
        <v>18</v>
      </c>
      <c r="G45" s="1" t="s">
        <v>104</v>
      </c>
      <c r="H45" s="7">
        <v>18</v>
      </c>
      <c r="I45" s="4">
        <f t="shared" si="1"/>
        <v>12126000</v>
      </c>
      <c r="J45" s="16">
        <v>218268000</v>
      </c>
      <c r="K45" s="1" t="s">
        <v>16</v>
      </c>
      <c r="L45" s="1" t="s">
        <v>48</v>
      </c>
      <c r="M45" s="1" t="s">
        <v>111</v>
      </c>
      <c r="N45" s="9">
        <v>1</v>
      </c>
    </row>
    <row r="46" spans="1:14" x14ac:dyDescent="0.25">
      <c r="A46" s="23" t="s">
        <v>22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x14ac:dyDescent="0.25">
      <c r="A47" s="23" t="s">
        <v>115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spans="1:14" ht="37.5" x14ac:dyDescent="0.25">
      <c r="A48" s="14">
        <v>1</v>
      </c>
      <c r="B48" s="14" t="s">
        <v>126</v>
      </c>
      <c r="C48" s="1">
        <v>4252110</v>
      </c>
      <c r="D48" s="1" t="s">
        <v>116</v>
      </c>
      <c r="E48" s="7">
        <v>888000</v>
      </c>
      <c r="F48" s="7" t="s">
        <v>18</v>
      </c>
      <c r="G48" s="7" t="s">
        <v>92</v>
      </c>
      <c r="H48" s="7">
        <v>60</v>
      </c>
      <c r="I48" s="8">
        <f>J48/H48</f>
        <v>11388</v>
      </c>
      <c r="J48" s="16">
        <v>683280</v>
      </c>
      <c r="K48" s="1" t="s">
        <v>16</v>
      </c>
      <c r="L48" s="1" t="s">
        <v>48</v>
      </c>
      <c r="M48" s="1" t="s">
        <v>122</v>
      </c>
      <c r="N48" s="9">
        <v>1</v>
      </c>
    </row>
    <row r="49" spans="1:14" ht="75" x14ac:dyDescent="0.25">
      <c r="A49" s="14">
        <v>2</v>
      </c>
      <c r="B49" s="14" t="s">
        <v>127</v>
      </c>
      <c r="C49" s="1">
        <v>4234920</v>
      </c>
      <c r="D49" s="1" t="s">
        <v>117</v>
      </c>
      <c r="E49" s="7">
        <v>8026000</v>
      </c>
      <c r="F49" s="7" t="s">
        <v>18</v>
      </c>
      <c r="G49" s="7" t="s">
        <v>50</v>
      </c>
      <c r="H49" s="7">
        <v>1</v>
      </c>
      <c r="I49" s="8">
        <f t="shared" ref="I49:I54" si="2">J49/H49</f>
        <v>5026000</v>
      </c>
      <c r="J49" s="16">
        <v>5026000</v>
      </c>
      <c r="K49" s="1" t="s">
        <v>16</v>
      </c>
      <c r="L49" s="1" t="s">
        <v>48</v>
      </c>
      <c r="M49" s="1" t="s">
        <v>107</v>
      </c>
      <c r="N49" s="9">
        <v>1</v>
      </c>
    </row>
    <row r="50" spans="1:14" x14ac:dyDescent="0.25">
      <c r="A50" s="13">
        <v>3</v>
      </c>
      <c r="B50" s="13" t="s">
        <v>127</v>
      </c>
      <c r="C50" s="1">
        <v>4234920</v>
      </c>
      <c r="D50" s="1" t="s">
        <v>79</v>
      </c>
      <c r="E50" s="7">
        <v>1400000</v>
      </c>
      <c r="F50" s="7" t="s">
        <v>18</v>
      </c>
      <c r="G50" s="7" t="s">
        <v>45</v>
      </c>
      <c r="H50" s="7">
        <v>20</v>
      </c>
      <c r="I50" s="8">
        <f t="shared" si="2"/>
        <v>60256</v>
      </c>
      <c r="J50" s="16">
        <v>1205120</v>
      </c>
      <c r="K50" s="1" t="s">
        <v>16</v>
      </c>
      <c r="L50" s="1" t="s">
        <v>48</v>
      </c>
      <c r="M50" s="1" t="s">
        <v>77</v>
      </c>
      <c r="N50" s="9">
        <v>1</v>
      </c>
    </row>
    <row r="51" spans="1:14" x14ac:dyDescent="0.25">
      <c r="A51" s="13">
        <v>4</v>
      </c>
      <c r="B51" s="13" t="s">
        <v>127</v>
      </c>
      <c r="C51" s="1">
        <v>4234920</v>
      </c>
      <c r="D51" s="1" t="s">
        <v>118</v>
      </c>
      <c r="E51" s="7">
        <v>9600000</v>
      </c>
      <c r="F51" s="7" t="s">
        <v>18</v>
      </c>
      <c r="G51" s="7" t="s">
        <v>45</v>
      </c>
      <c r="H51" s="7">
        <v>16</v>
      </c>
      <c r="I51" s="8">
        <f t="shared" si="2"/>
        <v>459312</v>
      </c>
      <c r="J51" s="16">
        <v>7348992</v>
      </c>
      <c r="K51" s="1" t="s">
        <v>16</v>
      </c>
      <c r="L51" s="1" t="s">
        <v>48</v>
      </c>
      <c r="M51" s="1" t="s">
        <v>77</v>
      </c>
      <c r="N51" s="9">
        <v>1</v>
      </c>
    </row>
    <row r="52" spans="1:14" ht="75" x14ac:dyDescent="0.25">
      <c r="A52" s="13">
        <v>5</v>
      </c>
      <c r="B52" s="13" t="s">
        <v>126</v>
      </c>
      <c r="C52" s="1">
        <v>4234100</v>
      </c>
      <c r="D52" s="1" t="s">
        <v>119</v>
      </c>
      <c r="E52" s="7">
        <v>7702114.6500000004</v>
      </c>
      <c r="F52" s="7" t="s">
        <v>18</v>
      </c>
      <c r="G52" s="7" t="s">
        <v>50</v>
      </c>
      <c r="H52" s="7">
        <v>1</v>
      </c>
      <c r="I52" s="8">
        <f t="shared" si="2"/>
        <v>4873534.4000000004</v>
      </c>
      <c r="J52" s="16">
        <v>4873534.4000000004</v>
      </c>
      <c r="K52" s="1" t="s">
        <v>16</v>
      </c>
      <c r="L52" s="1" t="s">
        <v>48</v>
      </c>
      <c r="M52" s="1" t="s">
        <v>123</v>
      </c>
      <c r="N52" s="9">
        <v>1</v>
      </c>
    </row>
    <row r="53" spans="1:14" x14ac:dyDescent="0.25">
      <c r="A53" s="13">
        <v>6</v>
      </c>
      <c r="B53" s="13" t="s">
        <v>127</v>
      </c>
      <c r="C53" s="1">
        <v>4299990</v>
      </c>
      <c r="D53" s="1" t="s">
        <v>120</v>
      </c>
      <c r="E53" s="7">
        <v>650000</v>
      </c>
      <c r="F53" s="7" t="s">
        <v>18</v>
      </c>
      <c r="G53" s="7" t="s">
        <v>45</v>
      </c>
      <c r="H53" s="7">
        <v>1</v>
      </c>
      <c r="I53" s="8">
        <f t="shared" si="2"/>
        <v>650000</v>
      </c>
      <c r="J53" s="16">
        <v>650000</v>
      </c>
      <c r="K53" s="1" t="s">
        <v>16</v>
      </c>
      <c r="L53" s="1" t="s">
        <v>48</v>
      </c>
      <c r="M53" s="1" t="s">
        <v>124</v>
      </c>
      <c r="N53" s="9">
        <v>1</v>
      </c>
    </row>
    <row r="54" spans="1:14" ht="37.5" x14ac:dyDescent="0.25">
      <c r="A54" s="13">
        <v>7</v>
      </c>
      <c r="B54" s="13" t="s">
        <v>127</v>
      </c>
      <c r="C54" s="1">
        <v>4234100</v>
      </c>
      <c r="D54" s="1" t="s">
        <v>121</v>
      </c>
      <c r="E54" s="7">
        <v>4000000</v>
      </c>
      <c r="F54" s="7" t="s">
        <v>18</v>
      </c>
      <c r="G54" s="7" t="s">
        <v>45</v>
      </c>
      <c r="H54" s="7">
        <v>4</v>
      </c>
      <c r="I54" s="8">
        <f t="shared" si="2"/>
        <v>610000</v>
      </c>
      <c r="J54" s="16">
        <v>2440000</v>
      </c>
      <c r="K54" s="1" t="s">
        <v>16</v>
      </c>
      <c r="L54" s="1" t="s">
        <v>48</v>
      </c>
      <c r="M54" s="1" t="s">
        <v>125</v>
      </c>
      <c r="N54" s="9">
        <v>1</v>
      </c>
    </row>
    <row r="55" spans="1:14" ht="37.5" x14ac:dyDescent="0.25">
      <c r="A55" s="13">
        <v>8</v>
      </c>
      <c r="B55" s="13" t="s">
        <v>126</v>
      </c>
      <c r="C55" s="1">
        <v>4234100</v>
      </c>
      <c r="D55" s="1" t="s">
        <v>44</v>
      </c>
      <c r="E55" s="7" t="s">
        <v>130</v>
      </c>
      <c r="F55" s="7" t="s">
        <v>18</v>
      </c>
      <c r="G55" s="7" t="s">
        <v>50</v>
      </c>
      <c r="H55" s="7">
        <v>1</v>
      </c>
      <c r="I55" s="8" t="s">
        <v>130</v>
      </c>
      <c r="J55" s="16" t="s">
        <v>130</v>
      </c>
      <c r="K55" s="1" t="s">
        <v>16</v>
      </c>
      <c r="L55" s="1" t="s">
        <v>35</v>
      </c>
      <c r="M55" s="1" t="s">
        <v>129</v>
      </c>
      <c r="N55" s="9">
        <v>1</v>
      </c>
    </row>
    <row r="56" spans="1:14" ht="56.25" x14ac:dyDescent="0.25">
      <c r="A56" s="13">
        <v>9</v>
      </c>
      <c r="B56" s="13" t="s">
        <v>127</v>
      </c>
      <c r="C56" s="1">
        <v>4291100</v>
      </c>
      <c r="D56" s="1" t="s">
        <v>113</v>
      </c>
      <c r="E56" s="7" t="s">
        <v>132</v>
      </c>
      <c r="F56" s="7" t="s">
        <v>18</v>
      </c>
      <c r="G56" s="7" t="s">
        <v>114</v>
      </c>
      <c r="H56" s="7">
        <v>1</v>
      </c>
      <c r="I56" s="8" t="s">
        <v>132</v>
      </c>
      <c r="J56" s="16" t="s">
        <v>132</v>
      </c>
      <c r="K56" s="1" t="s">
        <v>16</v>
      </c>
      <c r="L56" s="1" t="s">
        <v>49</v>
      </c>
      <c r="M56" s="1" t="s">
        <v>131</v>
      </c>
      <c r="N56" s="9">
        <v>1</v>
      </c>
    </row>
    <row r="57" spans="1:14" ht="37.5" x14ac:dyDescent="0.25">
      <c r="A57" s="13">
        <v>10</v>
      </c>
      <c r="B57" s="13" t="s">
        <v>128</v>
      </c>
      <c r="C57" s="1">
        <v>4299990</v>
      </c>
      <c r="D57" s="1" t="s">
        <v>135</v>
      </c>
      <c r="E57" s="7" t="s">
        <v>134</v>
      </c>
      <c r="F57" s="7" t="s">
        <v>18</v>
      </c>
      <c r="G57" s="7" t="s">
        <v>50</v>
      </c>
      <c r="H57" s="7">
        <v>1</v>
      </c>
      <c r="I57" s="8" t="s">
        <v>134</v>
      </c>
      <c r="J57" s="16" t="s">
        <v>134</v>
      </c>
      <c r="K57" s="1" t="s">
        <v>16</v>
      </c>
      <c r="L57" s="1" t="s">
        <v>49</v>
      </c>
      <c r="M57" s="1" t="s">
        <v>133</v>
      </c>
      <c r="N57" s="9">
        <v>1</v>
      </c>
    </row>
    <row r="58" spans="1:14" x14ac:dyDescent="0.25">
      <c r="A58" s="12"/>
      <c r="B58" s="12"/>
      <c r="C58" s="22"/>
      <c r="D58" s="12"/>
      <c r="E58" s="12"/>
      <c r="F58" s="11"/>
      <c r="G58" s="12"/>
      <c r="H58" s="12"/>
      <c r="I58" s="12"/>
      <c r="J58" s="12"/>
      <c r="K58" s="12"/>
      <c r="L58" s="12"/>
      <c r="M58" s="12"/>
      <c r="N58" s="12"/>
    </row>
  </sheetData>
  <autoFilter ref="A3:N57"/>
  <mergeCells count="7">
    <mergeCell ref="A46:N46"/>
    <mergeCell ref="A47:N47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2024-10-30T14:31:12Z</dcterms:modified>
</cp:coreProperties>
</file>