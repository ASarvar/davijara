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Шартномалар" sheetId="6" r:id="rId1"/>
  </sheets>
  <definedNames>
    <definedName name="_xlnm._FilterDatabase" localSheetId="0" hidden="1">Шартномалар!$A$3:$N$31</definedName>
    <definedName name="_xlnm.Print_Area" localSheetId="0">Шартномалар!$A$1:$N$32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6" l="1"/>
  <c r="J9" i="6"/>
</calcChain>
</file>

<file path=xl/sharedStrings.xml><?xml version="1.0" encoding="utf-8"?>
<sst xmlns="http://schemas.openxmlformats.org/spreadsheetml/2006/main" count="146" uniqueCount="67">
  <si>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</si>
  <si>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</si>
  <si>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</si>
  <si>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</si>
  <si>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</si>
  <si>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</si>
  <si>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</si>
  <si>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</si>
  <si>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</si>
  <si>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</si>
  <si>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</si>
  <si>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</si>
  <si>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</si>
  <si>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</si>
  <si>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</si>
  <si>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</si>
  <si>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</si>
  <si>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</si>
  <si>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</si>
  <si>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</si>
  <si>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PAYITAHT XK</t>
  </si>
  <si>
    <t>budjetdan tashqari hisobidan</t>
  </si>
  <si>
    <t>2-chorak</t>
  </si>
  <si>
    <t>"UNICON-SOFT" МЧЖ</t>
  </si>
  <si>
    <t>OOO DRIVERS VILLAGE</t>
  </si>
  <si>
    <t>"UNG PETRO" МЧЖ</t>
  </si>
  <si>
    <t>Дирекция по эксплуатац.комплекс зданий ГКК РУз</t>
  </si>
  <si>
    <t>"O`ZBEKTELEKOM" АЖ</t>
  </si>
  <si>
    <t>UNIVERSAL MOBILE SYSTEMS МЧЖ</t>
  </si>
  <si>
    <t>"Uzdigital TV" МЧЖ</t>
  </si>
  <si>
    <t>360 000,00</t>
  </si>
  <si>
    <t>1 258 056,00</t>
  </si>
  <si>
    <t>Интернет VPN хизмати</t>
  </si>
  <si>
    <t>усл. Ед</t>
  </si>
  <si>
    <t>to'ridan to'gri</t>
  </si>
  <si>
    <t>Услуга телевидению</t>
  </si>
  <si>
    <t>Услуги по сотовой (мобильной) связи</t>
  </si>
  <si>
    <t>За услуги эл документаоборота "Ijro.gov.uz"</t>
  </si>
  <si>
    <t>За услуги интернет</t>
  </si>
  <si>
    <t>За бензин</t>
  </si>
  <si>
    <t>л</t>
  </si>
  <si>
    <t xml:space="preserve">Возмещению расходов по коммуналному обслуживанию </t>
  </si>
  <si>
    <t>месяц</t>
  </si>
  <si>
    <t>Услуга по замене запчастей автомобиля</t>
  </si>
  <si>
    <t>yanvar</t>
  </si>
  <si>
    <t>fevral</t>
  </si>
  <si>
    <t>эл. Магазин</t>
  </si>
  <si>
    <t>Единый поставщик</t>
  </si>
  <si>
    <t>усл. ед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</si>
  <si>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</si>
  <si>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ООО Единый интегратор по созданию и поддержке государственных информационных систем UZINFOCOM</t>
  </si>
  <si>
    <t>"YANGI TEXNOLOGIYALAR ILMIY-AXBOROT MARKAZI" DAVLAT UNITAR KORXONASI</t>
  </si>
  <si>
    <t>43 383 471,42 </t>
  </si>
  <si>
    <t>520 601 657,04</t>
  </si>
  <si>
    <t>977 500 000</t>
  </si>
  <si>
    <t>REALSOFT MCHJ</t>
  </si>
  <si>
    <t>55 829 000</t>
  </si>
  <si>
    <t>Бумага для офисной техники белая</t>
  </si>
  <si>
    <t>пачка</t>
  </si>
  <si>
    <t>DESKFORM MCHJ</t>
  </si>
  <si>
    <t>Средний ремонт транспортных средств</t>
  </si>
  <si>
    <t xml:space="preserve">Замена запчастей </t>
  </si>
  <si>
    <t>VKC</t>
  </si>
  <si>
    <t>YO‘LDOSHEV AZIZBEK AZIMJONOVICH</t>
  </si>
  <si>
    <t>усл.ед</t>
  </si>
  <si>
    <t>3-chorak</t>
  </si>
  <si>
    <r>
      <t xml:space="preserve">Davlat aktivlarini boshqarish agentligining budjet va budjetdan tashqari mablagʻlari hisobiga 2024-yil </t>
    </r>
    <r>
      <rPr>
        <b/>
        <sz val="14"/>
        <color rgb="FFFF0000"/>
        <rFont val="Times New Roman"/>
        <family val="1"/>
        <charset val="204"/>
      </rPr>
      <t>yanvar- mart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</si>
</sst>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" fontId="1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abSelected="1" zoomScale="70" zoomScaleNormal="70" zoomScaleSheetLayoutView="70" workbookViewId="0">
      <pane ySplit="3" topLeftCell="A4" activePane="bottomLeft" state="frozen"/>
      <selection pane="bottomLeft" activeCell="E19" sqref="E19"/>
    </sheetView>
  </sheetViews>
  <sheetFormatPr defaultColWidth="9.140625" defaultRowHeight="18.75" x14ac:dyDescent="0.25"/>
  <cols>
    <col min="1" max="1" width="7.7109375" style="18" customWidth="1"/>
    <col min="2" max="2" width="10.85546875" style="18" customWidth="1"/>
    <col min="3" max="3" width="16" style="19" customWidth="1"/>
    <col min="4" max="4" width="35" style="18" customWidth="1"/>
    <col min="5" max="5" width="22.7109375" style="20" customWidth="1"/>
    <col min="6" max="6" width="22.7109375" style="18" customWidth="1"/>
    <col min="7" max="7" width="28.140625" style="18" customWidth="1"/>
    <col min="8" max="8" width="12" style="18" customWidth="1"/>
    <col min="9" max="9" width="21.140625" style="5" customWidth="1"/>
    <col min="10" max="10" width="19.140625" style="21" customWidth="1"/>
    <col min="11" max="11" width="27.42578125" style="18" customWidth="1"/>
    <col min="12" max="12" width="24.85546875" style="18" customWidth="1"/>
    <col min="13" max="13" width="50.42578125" style="18" customWidth="1"/>
    <col min="14" max="14" width="25.85546875" style="18" customWidth="1"/>
    <col min="15" max="16384" width="9.140625" style="18"/>
  </cols>
  <sheetData>
    <row r="1" spans="1:14" x14ac:dyDescent="0.25">
      <c r="A1" s="24" t="s">
        <v>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H2" s="18" t="s">
        <v>1</v>
      </c>
      <c r="N2" s="2" t="s">
        <v>2</v>
      </c>
    </row>
    <row r="3" spans="1:14" s="19" customFormat="1" ht="93.75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5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23" t="s">
        <v>21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x14ac:dyDescent="0.25">
      <c r="A5" s="23" t="s">
        <v>19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25">
      <c r="A6" s="13">
        <v>1</v>
      </c>
      <c r="B6" s="13" t="s">
        <v>44</v>
      </c>
      <c r="C6" s="17">
        <v>4252500</v>
      </c>
      <c r="D6" s="1" t="s">
        <v>39</v>
      </c>
      <c r="E6" s="6">
        <v>64995000</v>
      </c>
      <c r="F6" s="1" t="s">
        <v>18</v>
      </c>
      <c r="G6" s="7" t="s">
        <v>40</v>
      </c>
      <c r="H6" s="7">
        <v>6190</v>
      </c>
      <c r="I6" s="4">
        <v>10500</v>
      </c>
      <c r="J6" s="16">
        <v>64995000</v>
      </c>
      <c r="K6" s="1" t="s">
        <v>16</v>
      </c>
      <c r="L6" s="1" t="s">
        <v>34</v>
      </c>
      <c r="M6" s="1" t="s">
        <v>25</v>
      </c>
      <c r="N6" s="9">
        <v>1</v>
      </c>
    </row>
    <row r="7" spans="1:14" x14ac:dyDescent="0.25">
      <c r="A7" s="13">
        <v>2</v>
      </c>
      <c r="B7" s="13" t="s">
        <v>44</v>
      </c>
      <c r="C7" s="17">
        <v>4252500</v>
      </c>
      <c r="D7" s="1" t="s">
        <v>39</v>
      </c>
      <c r="E7" s="6">
        <v>19910400</v>
      </c>
      <c r="F7" s="1" t="s">
        <v>18</v>
      </c>
      <c r="G7" s="7" t="s">
        <v>40</v>
      </c>
      <c r="H7" s="7">
        <v>1592</v>
      </c>
      <c r="I7" s="4">
        <v>6800</v>
      </c>
      <c r="J7" s="16">
        <v>19900000</v>
      </c>
      <c r="K7" s="1" t="s">
        <v>16</v>
      </c>
      <c r="L7" s="1" t="s">
        <v>34</v>
      </c>
      <c r="M7" s="1" t="s">
        <v>25</v>
      </c>
      <c r="N7" s="9">
        <v>1</v>
      </c>
    </row>
    <row r="8" spans="1:14" x14ac:dyDescent="0.25">
      <c r="A8" s="13">
        <v>3</v>
      </c>
      <c r="B8" s="13" t="s">
        <v>44</v>
      </c>
      <c r="C8" s="17">
        <v>4292200</v>
      </c>
      <c r="D8" s="1" t="s">
        <v>32</v>
      </c>
      <c r="E8" s="6" t="s">
        <v>31</v>
      </c>
      <c r="F8" s="1" t="s">
        <v>18</v>
      </c>
      <c r="G8" s="7" t="s">
        <v>42</v>
      </c>
      <c r="H8" s="7">
        <v>12</v>
      </c>
      <c r="I8" s="4">
        <v>104838</v>
      </c>
      <c r="J8" s="16">
        <v>1258056</v>
      </c>
      <c r="K8" s="1" t="s">
        <v>16</v>
      </c>
      <c r="L8" s="1" t="s">
        <v>34</v>
      </c>
      <c r="M8" s="1" t="s">
        <v>27</v>
      </c>
      <c r="N8" s="9">
        <v>1</v>
      </c>
    </row>
    <row r="9" spans="1:14" x14ac:dyDescent="0.25">
      <c r="A9" s="13">
        <v>4</v>
      </c>
      <c r="B9" s="13" t="s">
        <v>44</v>
      </c>
      <c r="C9" s="17">
        <v>4292200</v>
      </c>
      <c r="D9" s="1" t="s">
        <v>38</v>
      </c>
      <c r="E9" s="6">
        <v>23880000</v>
      </c>
      <c r="F9" s="1" t="s">
        <v>18</v>
      </c>
      <c r="G9" s="7" t="s">
        <v>42</v>
      </c>
      <c r="H9" s="7">
        <v>12</v>
      </c>
      <c r="I9" s="4">
        <v>1990000</v>
      </c>
      <c r="J9" s="16">
        <f>I9*H9</f>
        <v>23880000</v>
      </c>
      <c r="K9" s="1" t="s">
        <v>16</v>
      </c>
      <c r="L9" s="1" t="s">
        <v>34</v>
      </c>
      <c r="M9" s="1" t="s">
        <v>27</v>
      </c>
      <c r="N9" s="9">
        <v>1</v>
      </c>
    </row>
    <row r="10" spans="1:14" ht="56.25" x14ac:dyDescent="0.25">
      <c r="A10" s="13">
        <v>5</v>
      </c>
      <c r="B10" s="13" t="s">
        <v>44</v>
      </c>
      <c r="C10" s="17">
        <v>4292200</v>
      </c>
      <c r="D10" s="1" t="s">
        <v>37</v>
      </c>
      <c r="E10" s="10">
        <v>14661360</v>
      </c>
      <c r="F10" s="1" t="s">
        <v>18</v>
      </c>
      <c r="G10" s="7" t="s">
        <v>42</v>
      </c>
      <c r="H10" s="7">
        <v>12</v>
      </c>
      <c r="I10" s="4">
        <v>1221780</v>
      </c>
      <c r="J10" s="16">
        <v>14661360</v>
      </c>
      <c r="K10" s="1" t="s">
        <v>16</v>
      </c>
      <c r="L10" s="1" t="s">
        <v>47</v>
      </c>
      <c r="M10" s="1" t="s">
        <v>23</v>
      </c>
      <c r="N10" s="9">
        <v>1</v>
      </c>
    </row>
    <row r="11" spans="1:14" ht="37.5" x14ac:dyDescent="0.25">
      <c r="A11" s="13">
        <v>6</v>
      </c>
      <c r="B11" s="13" t="s">
        <v>44</v>
      </c>
      <c r="C11" s="17">
        <v>4292100</v>
      </c>
      <c r="D11" s="1" t="s">
        <v>36</v>
      </c>
      <c r="E11" s="6" t="s">
        <v>30</v>
      </c>
      <c r="F11" s="1" t="s">
        <v>18</v>
      </c>
      <c r="G11" s="7" t="s">
        <v>42</v>
      </c>
      <c r="H11" s="7">
        <v>12</v>
      </c>
      <c r="I11" s="4">
        <v>360000</v>
      </c>
      <c r="J11" s="16">
        <v>360000</v>
      </c>
      <c r="K11" s="1" t="s">
        <v>16</v>
      </c>
      <c r="L11" s="1" t="s">
        <v>34</v>
      </c>
      <c r="M11" s="1" t="s">
        <v>28</v>
      </c>
      <c r="N11" s="9">
        <v>1</v>
      </c>
    </row>
    <row r="12" spans="1:14" x14ac:dyDescent="0.25">
      <c r="A12" s="13">
        <v>7</v>
      </c>
      <c r="B12" s="13" t="s">
        <v>44</v>
      </c>
      <c r="C12" s="17">
        <v>4292100</v>
      </c>
      <c r="D12" s="1" t="s">
        <v>35</v>
      </c>
      <c r="E12" s="6">
        <v>420000</v>
      </c>
      <c r="F12" s="1" t="s">
        <v>18</v>
      </c>
      <c r="G12" s="7" t="s">
        <v>42</v>
      </c>
      <c r="H12" s="7">
        <v>12</v>
      </c>
      <c r="I12" s="4">
        <v>35000</v>
      </c>
      <c r="J12" s="16">
        <v>420000</v>
      </c>
      <c r="K12" s="1" t="s">
        <v>16</v>
      </c>
      <c r="L12" s="1" t="s">
        <v>34</v>
      </c>
      <c r="M12" s="1" t="s">
        <v>29</v>
      </c>
      <c r="N12" s="9">
        <v>1</v>
      </c>
    </row>
    <row r="13" spans="1:14" ht="150" x14ac:dyDescent="0.25">
      <c r="A13" s="13">
        <v>8</v>
      </c>
      <c r="B13" s="13" t="s">
        <v>44</v>
      </c>
      <c r="C13" s="17">
        <v>4292200</v>
      </c>
      <c r="D13" s="1" t="s">
        <v>49</v>
      </c>
      <c r="E13" s="10">
        <v>4080000</v>
      </c>
      <c r="F13" s="1" t="s">
        <v>18</v>
      </c>
      <c r="G13" s="7" t="s">
        <v>33</v>
      </c>
      <c r="H13" s="7">
        <v>12</v>
      </c>
      <c r="I13" s="4">
        <v>340000</v>
      </c>
      <c r="J13" s="16">
        <f>I13*H13</f>
        <v>4080000</v>
      </c>
      <c r="K13" s="1" t="s">
        <v>16</v>
      </c>
      <c r="L13" s="1" t="s">
        <v>47</v>
      </c>
      <c r="M13" s="1" t="s">
        <v>51</v>
      </c>
      <c r="N13" s="9">
        <v>1</v>
      </c>
    </row>
    <row r="14" spans="1:14" ht="150" x14ac:dyDescent="0.25">
      <c r="A14" s="13">
        <v>9</v>
      </c>
      <c r="B14" s="13" t="s">
        <v>44</v>
      </c>
      <c r="C14" s="17">
        <v>4292200</v>
      </c>
      <c r="D14" s="1" t="s">
        <v>49</v>
      </c>
      <c r="E14" s="10">
        <v>7200000</v>
      </c>
      <c r="F14" s="1" t="s">
        <v>18</v>
      </c>
      <c r="G14" s="7" t="s">
        <v>42</v>
      </c>
      <c r="H14" s="7">
        <v>12</v>
      </c>
      <c r="I14" s="4">
        <v>600000</v>
      </c>
      <c r="J14" s="16">
        <v>7200000</v>
      </c>
      <c r="K14" s="1" t="s">
        <v>16</v>
      </c>
      <c r="L14" s="1" t="s">
        <v>47</v>
      </c>
      <c r="M14" s="1" t="s">
        <v>50</v>
      </c>
      <c r="N14" s="9">
        <v>1</v>
      </c>
    </row>
    <row r="15" spans="1:14" ht="56.25" x14ac:dyDescent="0.25">
      <c r="A15" s="13">
        <v>10</v>
      </c>
      <c r="B15" s="13" t="s">
        <v>45</v>
      </c>
      <c r="C15" s="17">
        <v>4299990</v>
      </c>
      <c r="D15" s="1" t="s">
        <v>41</v>
      </c>
      <c r="E15" s="6" t="s">
        <v>53</v>
      </c>
      <c r="F15" s="1" t="s">
        <v>18</v>
      </c>
      <c r="G15" s="7" t="s">
        <v>42</v>
      </c>
      <c r="H15" s="7">
        <v>12</v>
      </c>
      <c r="I15" s="4" t="s">
        <v>52</v>
      </c>
      <c r="J15" s="16" t="s">
        <v>53</v>
      </c>
      <c r="K15" s="1" t="s">
        <v>16</v>
      </c>
      <c r="L15" s="1" t="s">
        <v>34</v>
      </c>
      <c r="M15" s="1" t="s">
        <v>26</v>
      </c>
      <c r="N15" s="9">
        <v>1</v>
      </c>
    </row>
    <row r="16" spans="1:14" ht="150" x14ac:dyDescent="0.25">
      <c r="A16" s="13">
        <v>11</v>
      </c>
      <c r="B16" s="13" t="s">
        <v>45</v>
      </c>
      <c r="C16" s="17">
        <v>4299990</v>
      </c>
      <c r="D16" s="1" t="s">
        <v>49</v>
      </c>
      <c r="E16" s="6" t="s">
        <v>54</v>
      </c>
      <c r="F16" s="1" t="s">
        <v>18</v>
      </c>
      <c r="G16" s="7" t="s">
        <v>33</v>
      </c>
      <c r="H16" s="7">
        <v>1</v>
      </c>
      <c r="I16" s="4" t="s">
        <v>54</v>
      </c>
      <c r="J16" s="16" t="s">
        <v>54</v>
      </c>
      <c r="K16" s="1" t="s">
        <v>16</v>
      </c>
      <c r="L16" s="1" t="s">
        <v>34</v>
      </c>
      <c r="M16" s="1" t="s">
        <v>55</v>
      </c>
      <c r="N16" s="9">
        <v>1</v>
      </c>
    </row>
    <row r="17" spans="1:14" ht="37.5" x14ac:dyDescent="0.25">
      <c r="A17" s="13">
        <v>12</v>
      </c>
      <c r="B17" s="13" t="s">
        <v>15</v>
      </c>
      <c r="C17" s="17">
        <v>4234100</v>
      </c>
      <c r="D17" s="1" t="s">
        <v>43</v>
      </c>
      <c r="E17" s="6" t="s">
        <v>56</v>
      </c>
      <c r="F17" s="1" t="s">
        <v>18</v>
      </c>
      <c r="G17" s="7" t="s">
        <v>33</v>
      </c>
      <c r="H17" s="7">
        <v>1</v>
      </c>
      <c r="I17" s="4" t="s">
        <v>56</v>
      </c>
      <c r="J17" s="16" t="s">
        <v>56</v>
      </c>
      <c r="K17" s="1" t="s">
        <v>16</v>
      </c>
      <c r="L17" s="1" t="s">
        <v>34</v>
      </c>
      <c r="M17" s="1" t="s">
        <v>24</v>
      </c>
      <c r="N17" s="9">
        <v>1</v>
      </c>
    </row>
    <row r="18" spans="1:14" ht="37.5" x14ac:dyDescent="0.25">
      <c r="A18" s="13">
        <v>13</v>
      </c>
      <c r="B18" s="13" t="s">
        <v>45</v>
      </c>
      <c r="C18" s="1">
        <v>4252120</v>
      </c>
      <c r="D18" s="1" t="s">
        <v>57</v>
      </c>
      <c r="E18" s="6">
        <v>1650000</v>
      </c>
      <c r="F18" s="1" t="s">
        <v>18</v>
      </c>
      <c r="G18" s="7" t="s">
        <v>58</v>
      </c>
      <c r="H18" s="7">
        <v>50</v>
      </c>
      <c r="I18" s="4">
        <v>33000</v>
      </c>
      <c r="J18" s="16">
        <v>1650000</v>
      </c>
      <c r="K18" s="1" t="s">
        <v>16</v>
      </c>
      <c r="L18" s="1" t="s">
        <v>46</v>
      </c>
      <c r="M18" s="1" t="s">
        <v>59</v>
      </c>
      <c r="N18" s="9">
        <v>1</v>
      </c>
    </row>
    <row r="19" spans="1:14" ht="37.5" x14ac:dyDescent="0.25">
      <c r="A19" s="13">
        <v>14</v>
      </c>
      <c r="B19" s="13" t="s">
        <v>45</v>
      </c>
      <c r="C19" s="1">
        <v>4234100</v>
      </c>
      <c r="D19" s="1" t="s">
        <v>60</v>
      </c>
      <c r="E19" s="6">
        <v>7499950</v>
      </c>
      <c r="F19" s="1" t="s">
        <v>18</v>
      </c>
      <c r="G19" s="7" t="s">
        <v>48</v>
      </c>
      <c r="H19" s="7">
        <v>1</v>
      </c>
      <c r="I19" s="4">
        <v>7499950</v>
      </c>
      <c r="J19" s="16">
        <v>7499950</v>
      </c>
      <c r="K19" s="1" t="s">
        <v>16</v>
      </c>
      <c r="L19" s="1" t="s">
        <v>46</v>
      </c>
      <c r="M19" s="1" t="s">
        <v>20</v>
      </c>
      <c r="N19" s="9">
        <v>1</v>
      </c>
    </row>
    <row r="20" spans="1:14" x14ac:dyDescent="0.25">
      <c r="A20" s="13">
        <v>15</v>
      </c>
      <c r="B20" s="13" t="s">
        <v>45</v>
      </c>
      <c r="C20" s="1">
        <v>4234100</v>
      </c>
      <c r="D20" s="1" t="s">
        <v>61</v>
      </c>
      <c r="E20" s="6">
        <v>1999950</v>
      </c>
      <c r="F20" s="1" t="s">
        <v>18</v>
      </c>
      <c r="G20" s="7" t="s">
        <v>48</v>
      </c>
      <c r="H20" s="7">
        <v>1</v>
      </c>
      <c r="I20" s="4">
        <v>1999950</v>
      </c>
      <c r="J20" s="16">
        <v>1999950</v>
      </c>
      <c r="K20" s="1" t="s">
        <v>16</v>
      </c>
      <c r="L20" s="1" t="s">
        <v>46</v>
      </c>
      <c r="M20" s="1" t="s">
        <v>20</v>
      </c>
      <c r="N20" s="9">
        <v>1</v>
      </c>
    </row>
    <row r="21" spans="1:14" ht="37.5" x14ac:dyDescent="0.25">
      <c r="A21" s="13">
        <v>17</v>
      </c>
      <c r="B21" s="13" t="s">
        <v>15</v>
      </c>
      <c r="C21" s="1">
        <v>4299990</v>
      </c>
      <c r="D21" s="1" t="s">
        <v>62</v>
      </c>
      <c r="E21" s="6">
        <v>1640000</v>
      </c>
      <c r="F21" s="1" t="s">
        <v>18</v>
      </c>
      <c r="G21" s="7" t="s">
        <v>64</v>
      </c>
      <c r="H21" s="7">
        <v>1</v>
      </c>
      <c r="I21" s="4">
        <v>1640000</v>
      </c>
      <c r="J21" s="16">
        <v>1640000</v>
      </c>
      <c r="K21" s="1" t="s">
        <v>16</v>
      </c>
      <c r="L21" s="1" t="s">
        <v>46</v>
      </c>
      <c r="M21" s="1" t="s">
        <v>63</v>
      </c>
      <c r="N21" s="9">
        <v>1</v>
      </c>
    </row>
    <row r="22" spans="1:14" x14ac:dyDescent="0.25">
      <c r="A22" s="23" t="s">
        <v>21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1:14" x14ac:dyDescent="0.25">
      <c r="A23" s="23" t="s">
        <v>22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25">
      <c r="A24" s="13"/>
      <c r="B24" s="13"/>
      <c r="C24" s="1"/>
      <c r="D24" s="1"/>
      <c r="E24" s="6"/>
      <c r="F24" s="1"/>
      <c r="G24" s="7"/>
      <c r="H24" s="7"/>
      <c r="I24" s="4"/>
      <c r="J24" s="16"/>
      <c r="K24" s="1"/>
      <c r="L24" s="1"/>
      <c r="M24" s="1"/>
      <c r="N24" s="9"/>
    </row>
    <row r="25" spans="1:14" x14ac:dyDescent="0.25">
      <c r="A25" s="14"/>
      <c r="B25" s="14"/>
      <c r="C25" s="1"/>
      <c r="D25" s="1"/>
      <c r="E25" s="6"/>
      <c r="F25" s="1"/>
      <c r="G25" s="1"/>
      <c r="H25" s="7"/>
      <c r="I25" s="4"/>
      <c r="J25" s="16"/>
      <c r="K25" s="1"/>
      <c r="L25" s="1"/>
      <c r="M25" s="1"/>
      <c r="N25" s="9"/>
    </row>
    <row r="26" spans="1:14" x14ac:dyDescent="0.25">
      <c r="A26" s="14"/>
      <c r="B26" s="14"/>
      <c r="C26" s="1"/>
      <c r="D26" s="1"/>
      <c r="E26" s="6"/>
      <c r="F26" s="1"/>
      <c r="G26" s="1"/>
      <c r="H26" s="7"/>
      <c r="I26" s="4"/>
      <c r="J26" s="16"/>
      <c r="K26" s="1"/>
      <c r="L26" s="1"/>
      <c r="M26" s="1"/>
      <c r="N26" s="9"/>
    </row>
    <row r="27" spans="1:14" x14ac:dyDescent="0.25">
      <c r="A27" s="23" t="s">
        <v>21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x14ac:dyDescent="0.25">
      <c r="A28" s="23" t="s">
        <v>65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x14ac:dyDescent="0.25">
      <c r="A29" s="14"/>
      <c r="B29" s="14"/>
      <c r="C29" s="1"/>
      <c r="D29" s="1"/>
      <c r="E29" s="7"/>
      <c r="F29" s="7"/>
      <c r="G29" s="7"/>
      <c r="H29" s="7"/>
      <c r="I29" s="8"/>
      <c r="J29" s="16"/>
      <c r="K29" s="1"/>
      <c r="L29" s="1"/>
      <c r="M29" s="1"/>
      <c r="N29" s="9"/>
    </row>
    <row r="30" spans="1:14" x14ac:dyDescent="0.25">
      <c r="A30" s="14"/>
      <c r="B30" s="14"/>
      <c r="C30" s="1"/>
      <c r="D30" s="1"/>
      <c r="E30" s="7"/>
      <c r="F30" s="7"/>
      <c r="G30" s="7"/>
      <c r="H30" s="7"/>
      <c r="I30" s="8"/>
      <c r="J30" s="16"/>
      <c r="K30" s="1"/>
      <c r="L30" s="1"/>
      <c r="M30" s="1"/>
      <c r="N30" s="9"/>
    </row>
    <row r="31" spans="1:14" x14ac:dyDescent="0.25">
      <c r="A31" s="13"/>
      <c r="B31" s="13"/>
      <c r="C31" s="1"/>
      <c r="D31" s="1"/>
      <c r="E31" s="7"/>
      <c r="F31" s="7"/>
      <c r="G31" s="7"/>
      <c r="H31" s="7"/>
      <c r="I31" s="8"/>
      <c r="J31" s="16"/>
      <c r="K31" s="1"/>
      <c r="L31" s="1"/>
      <c r="M31" s="1"/>
      <c r="N31" s="9"/>
    </row>
    <row r="32" spans="1:14" x14ac:dyDescent="0.25">
      <c r="A32" s="12"/>
      <c r="B32" s="12"/>
      <c r="C32" s="22"/>
      <c r="D32" s="12"/>
      <c r="E32" s="12"/>
      <c r="F32" s="11"/>
      <c r="G32" s="12"/>
      <c r="H32" s="12"/>
      <c r="I32" s="12"/>
      <c r="J32" s="12"/>
      <c r="K32" s="12"/>
      <c r="L32" s="12"/>
      <c r="M32" s="12"/>
      <c r="N32" s="12"/>
    </row>
  </sheetData>
  <autoFilter ref="A3:N31"/>
  <mergeCells count="7">
    <mergeCell ref="A27:N27"/>
    <mergeCell ref="A28:N28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2024-10-31T03:32:09Z</dcterms:modified>
</cp:coreProperties>
</file>