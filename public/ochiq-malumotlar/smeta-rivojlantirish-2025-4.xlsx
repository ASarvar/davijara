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16350" windowHeight="1113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">Отчет!$F$24</definedName>
    <definedName name="R_112">Отчет!$F$23</definedName>
    <definedName name="R_113">Отчет!$F$20</definedName>
    <definedName name="R_12">Отчет!$F$25</definedName>
    <definedName name="R_14">Отчет!$F$12</definedName>
    <definedName name="R_21">Отчет!$F$24</definedName>
    <definedName name="R_3">Отчет!$F$11</definedName>
    <definedName name="R_4">Отчет!$F$12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</calcChain>
</file>

<file path=xl/sharedStrings.xml><?xml version="1.0" encoding="utf-8"?>
<sst xmlns="http://schemas.openxmlformats.org/spreadsheetml/2006/main" count="157" uniqueCount="88">
  <si>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</si>
  <si>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</si>
  <si>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01.01.2026</t>
  </si>
  <si>
    <t>Организация:</t>
  </si>
  <si>
    <t>"DAVLAT MULKI OBYEKTLARIDAN SAMARALI FOYDALANISH MARKAZI " DAVLAT MUASSASASI</t>
  </si>
  <si>
    <t>Периодичность:</t>
  </si>
  <si>
    <t>Годовая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</si>
  <si>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</si>
  <si>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</si>
  <si>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</si>
  <si>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</si>
  <si>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</si>
  <si>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</si>
  <si>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</si>
  <si>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</si>
  <si>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</si>
  <si>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</si>
  <si>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</si>
  <si>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</si>
  <si>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</si>
  <si>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</si>
  <si>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</si>
  <si>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</si>
  <si>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</si>
  <si>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</si>
  <si>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</si>
  <si>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</si>
  <si>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</si>
  <si>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</si>
  <si>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</si>
  <si>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</si>
  <si>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</si>
  <si>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</si>
  <si>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</si>
  <si>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</si>
  <si>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</si>
  <si>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</si>
  <si>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</si>
  <si>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</si>
  <si>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</si>
  <si>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</si>
  <si>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</si>
  <si>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</si>
  <si>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</si>
  <si>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</si>
  <si>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</si>
  <si>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</si>
  <si>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</si>
  <si>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</si>
  <si>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</si>
  <si>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</si>
  <si>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</si>
  <si>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</si>
  <si>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</si>
  <si>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</si>
  <si>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</si>
  <si>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</si>
  <si>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</si>
  <si>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000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</si>
  <si>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</si>
  <si>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</si>
  <si>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</si>
  <si>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</si>
  <si>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Продуктов питания</t>
  </si>
  <si>
    <t>300</t>
  </si>
  <si>
    <t>Другие расходы на приобретение товаров и услуг</t>
  </si>
  <si>
    <t>90</t>
  </si>
  <si>
    <t>Расходы на обучение</t>
  </si>
  <si>
    <t>91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</si>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</sst>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164" fontId="26" fillId="0" borderId="0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  <xf numFmtId="0" fontId="18" fillId="0" borderId="0"/>
  </cellStyleXfs>
  <cellXfs count="38">
    <xf numFmtId="0" fontId="0" fillId="0" borderId="0" xfId="0" applyNumberFormat="1" applyFont="1" applyFill="1" applyBorder="1" applyProtection="1"/>
    <xf numFmtId="165" fontId="23" fillId="33" borderId="13" xfId="28" applyNumberFormat="1" applyFont="1" applyFill="1" applyBorder="1" applyAlignment="1" applyProtection="1">
      <alignment horizontal="center" vertical="center"/>
    </xf>
    <xf numFmtId="165" fontId="24" fillId="33" borderId="13" xfId="28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43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43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35" builtinId="20" customBuiltin="1"/>
    <cellStyle name="Вывод" xfId="39" builtinId="21" customBuiltin="1"/>
    <cellStyle name="Вычисление" xfId="26" builtinId="22" customBuiltin="1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1" builtinId="25" customBuiltin="1"/>
    <cellStyle name="Контрольная ячейка" xfId="27" builtinId="23" customBuiltin="1"/>
    <cellStyle name="Название" xfId="40" builtinId="15" customBuiltin="1"/>
    <cellStyle name="Нейтральный" xfId="37" builtinId="28" customBuiltin="1"/>
    <cellStyle name="Обычный" xfId="0" builtinId="0" customBuiltin="1"/>
    <cellStyle name="Обычный 4" xfId="43"/>
    <cellStyle name="Плохой" xfId="25" builtinId="27" customBuiltin="1"/>
    <cellStyle name="Пояснение" xfId="29" builtinId="53" customBuiltin="1"/>
    <cellStyle name="Примечание" xfId="38" builtinId="10" customBuiltin="1"/>
    <cellStyle name="Связанная ячейка" xfId="36" builtinId="24" customBuiltin="1"/>
    <cellStyle name="Текст предупреждения" xfId="42" builtinId="11" customBuiltin="1"/>
    <cellStyle name="Финансовый" xfId="28" builtinId="3" customBuiltin="1"/>
    <cellStyle name="Хороший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61"/>
  <sheetViews>
    <sheetView tabSelected="1" topLeftCell="A4" workbookViewId="0">
      <selection activeCell="F24" sqref="F24"/>
    </sheetView>
  </sheetViews>
  <sheetFormatPr defaultColWidth="15" defaultRowHeight="15" x14ac:dyDescent="0.25"/>
  <cols>
    <col min="1" max="1" width="31.7109375" style="9" bestFit="1" customWidth="1"/>
    <col min="2" max="4" width="15" style="9" bestFit="1" customWidth="1"/>
    <col min="5" max="6" width="22.42578125" style="9" bestFit="1" customWidth="1"/>
    <col min="7" max="8" width="15" style="9" customWidth="1"/>
    <col min="9" max="16384" width="15" style="9"/>
  </cols>
  <sheetData>
    <row r="1" spans="1:6" ht="54.75" customHeight="1" x14ac:dyDescent="0.25">
      <c r="C1" s="26" t="s">
        <v>0</v>
      </c>
      <c r="D1" s="26"/>
      <c r="E1" s="26"/>
      <c r="F1" s="26"/>
    </row>
    <row r="2" spans="1:6" ht="36.75" customHeight="1" x14ac:dyDescent="0.25">
      <c r="A2" s="27" t="s">
        <v>1</v>
      </c>
      <c r="B2" s="27"/>
      <c r="C2" s="27"/>
      <c r="D2" s="27"/>
      <c r="E2" s="27"/>
      <c r="F2" s="27"/>
    </row>
    <row r="3" spans="1:6" x14ac:dyDescent="0.25">
      <c r="A3" s="28" t="s">
        <v>2</v>
      </c>
      <c r="B3" s="28"/>
      <c r="C3" s="28"/>
      <c r="D3" s="28"/>
      <c r="E3" s="28"/>
      <c r="F3" s="28"/>
    </row>
    <row r="5" spans="1:6" x14ac:dyDescent="0.25">
      <c r="A5" s="7" t="s">
        <v>3</v>
      </c>
      <c r="B5" s="29" t="s">
        <v>4</v>
      </c>
      <c r="C5" s="29"/>
      <c r="D5" s="29"/>
      <c r="E5" s="29"/>
      <c r="F5" s="29"/>
    </row>
    <row r="6" spans="1:6" x14ac:dyDescent="0.25">
      <c r="A6" s="7" t="s">
        <v>5</v>
      </c>
      <c r="B6" s="30" t="s">
        <v>6</v>
      </c>
      <c r="C6" s="30"/>
      <c r="D6" s="30"/>
      <c r="E6" s="30"/>
      <c r="F6" s="30"/>
    </row>
    <row r="7" spans="1:6" x14ac:dyDescent="0.25">
      <c r="A7" s="7" t="s">
        <v>7</v>
      </c>
      <c r="B7" s="30" t="s">
        <v>8</v>
      </c>
      <c r="C7" s="30"/>
      <c r="D7" s="30"/>
      <c r="E7" s="30"/>
      <c r="F7" s="30"/>
    </row>
    <row r="8" spans="1:6" x14ac:dyDescent="0.25">
      <c r="A8" s="7" t="s">
        <v>9</v>
      </c>
      <c r="B8" s="30" t="s">
        <v>10</v>
      </c>
      <c r="C8" s="30"/>
      <c r="D8" s="30"/>
      <c r="E8" s="30"/>
      <c r="F8" s="30"/>
    </row>
    <row r="9" spans="1:6" x14ac:dyDescent="0.25">
      <c r="A9" s="8" t="s">
        <v>11</v>
      </c>
      <c r="B9" s="31" t="s">
        <v>12</v>
      </c>
      <c r="C9" s="31"/>
      <c r="D9" s="31"/>
      <c r="E9" s="31"/>
      <c r="F9" s="31"/>
    </row>
    <row r="10" spans="1:6" ht="15.75" customHeight="1" x14ac:dyDescent="0.25">
      <c r="A10" s="32" t="s">
        <v>13</v>
      </c>
      <c r="B10" s="33"/>
      <c r="C10" s="33"/>
      <c r="D10" s="33"/>
      <c r="E10" s="34"/>
      <c r="F10" s="11" t="s">
        <v>14</v>
      </c>
    </row>
    <row r="11" spans="1:6" ht="15.75" customHeight="1" x14ac:dyDescent="0.25">
      <c r="A11" s="35" t="s">
        <v>15</v>
      </c>
      <c r="B11" s="36"/>
      <c r="C11" s="36"/>
      <c r="D11" s="36"/>
      <c r="E11" s="37"/>
      <c r="F11" s="1">
        <v>622446385.85000002</v>
      </c>
    </row>
    <row r="12" spans="1:6" ht="15.75" customHeight="1" x14ac:dyDescent="0.25">
      <c r="A12" s="25" t="s">
        <v>16</v>
      </c>
      <c r="B12" s="23"/>
      <c r="C12" s="23"/>
      <c r="D12" s="23"/>
      <c r="E12" s="24"/>
      <c r="F12" s="1">
        <v>6426309222.9099998</v>
      </c>
    </row>
    <row r="13" spans="1:6" ht="15.75" customHeight="1" x14ac:dyDescent="0.25">
      <c r="A13" s="22" t="s">
        <v>17</v>
      </c>
      <c r="B13" s="23"/>
      <c r="C13" s="23"/>
      <c r="D13" s="23"/>
      <c r="E13" s="24"/>
      <c r="F13" s="1">
        <f>SUM(F15:F19)</f>
        <v>6426309222.9099998</v>
      </c>
    </row>
    <row r="14" spans="1:6" ht="15.75" customHeight="1" x14ac:dyDescent="0.25">
      <c r="A14" s="19" t="s">
        <v>18</v>
      </c>
      <c r="B14" s="20"/>
      <c r="C14" s="20"/>
      <c r="D14" s="20"/>
      <c r="E14" s="21"/>
      <c r="F14" s="1"/>
    </row>
    <row r="15" spans="1:6" ht="15.75" customHeight="1" x14ac:dyDescent="0.25">
      <c r="A15" s="19" t="s">
        <v>19</v>
      </c>
      <c r="B15" s="20"/>
      <c r="C15" s="20"/>
      <c r="D15" s="20"/>
      <c r="E15" s="21"/>
      <c r="F15" s="2">
        <v>0</v>
      </c>
    </row>
    <row r="16" spans="1:6" ht="33.75" customHeight="1" x14ac:dyDescent="0.25">
      <c r="A16" s="19" t="s">
        <v>20</v>
      </c>
      <c r="B16" s="20"/>
      <c r="C16" s="20"/>
      <c r="D16" s="20"/>
      <c r="E16" s="21"/>
      <c r="F16" s="2">
        <v>0</v>
      </c>
    </row>
    <row r="17" spans="1:6" ht="33" customHeight="1" x14ac:dyDescent="0.25">
      <c r="A17" s="19" t="s">
        <v>21</v>
      </c>
      <c r="B17" s="20"/>
      <c r="C17" s="20"/>
      <c r="D17" s="20"/>
      <c r="E17" s="21"/>
      <c r="F17" s="2">
        <v>0</v>
      </c>
    </row>
    <row r="18" spans="1:6" x14ac:dyDescent="0.25">
      <c r="A18" s="19" t="s">
        <v>22</v>
      </c>
      <c r="B18" s="20"/>
      <c r="C18" s="20"/>
      <c r="D18" s="20"/>
      <c r="E18" s="21"/>
      <c r="F18" s="2">
        <v>6426309222.9099998</v>
      </c>
    </row>
    <row r="19" spans="1:6" ht="31.5" customHeight="1" x14ac:dyDescent="0.25">
      <c r="A19" s="19" t="s">
        <v>23</v>
      </c>
      <c r="B19" s="20"/>
      <c r="C19" s="20"/>
      <c r="D19" s="20"/>
      <c r="E19" s="21"/>
      <c r="F19" s="2">
        <v>0</v>
      </c>
    </row>
    <row r="20" spans="1:6" x14ac:dyDescent="0.25">
      <c r="A20" s="22" t="s">
        <v>24</v>
      </c>
      <c r="B20" s="23"/>
      <c r="C20" s="23"/>
      <c r="D20" s="23"/>
      <c r="E20" s="24"/>
      <c r="F20" s="1">
        <v>0</v>
      </c>
    </row>
    <row r="21" spans="1:6" ht="15.75" customHeight="1" x14ac:dyDescent="0.25">
      <c r="A21" s="25" t="s">
        <v>25</v>
      </c>
      <c r="B21" s="23"/>
      <c r="C21" s="23"/>
      <c r="D21" s="23"/>
      <c r="E21" s="24"/>
      <c r="F21" s="1">
        <f>F22+F23</f>
        <v>1868939911</v>
      </c>
    </row>
    <row r="22" spans="1:6" ht="15.75" customHeight="1" x14ac:dyDescent="0.25">
      <c r="A22" s="25" t="s">
        <v>26</v>
      </c>
      <c r="B22" s="23"/>
      <c r="C22" s="23"/>
      <c r="D22" s="23"/>
      <c r="E22" s="24"/>
      <c r="F22" s="1">
        <v>1868939911</v>
      </c>
    </row>
    <row r="23" spans="1:6" ht="15.75" customHeight="1" x14ac:dyDescent="0.25">
      <c r="A23" s="25" t="s">
        <v>27</v>
      </c>
      <c r="B23" s="23"/>
      <c r="C23" s="23"/>
      <c r="D23" s="23"/>
      <c r="E23" s="24"/>
      <c r="F23" s="1">
        <v>0</v>
      </c>
    </row>
    <row r="24" spans="1:6" ht="15.75" customHeight="1" x14ac:dyDescent="0.25">
      <c r="A24" s="25" t="s">
        <v>28</v>
      </c>
      <c r="B24" s="23"/>
      <c r="C24" s="23"/>
      <c r="D24" s="23"/>
      <c r="E24" s="24"/>
      <c r="F24" s="1">
        <v>5179815697.7600002</v>
      </c>
    </row>
    <row r="25" spans="1:6" ht="15.75" customHeight="1" x14ac:dyDescent="0.25">
      <c r="A25" s="25" t="s">
        <v>29</v>
      </c>
      <c r="B25" s="23"/>
      <c r="C25" s="23"/>
      <c r="D25" s="23"/>
      <c r="E25" s="24"/>
      <c r="F25" s="1">
        <v>0</v>
      </c>
    </row>
    <row r="26" spans="1:6" x14ac:dyDescent="0.25">
      <c r="A26" s="16" t="s">
        <v>30</v>
      </c>
      <c r="B26" s="16"/>
      <c r="C26" s="16"/>
      <c r="D26" s="16"/>
      <c r="E26" s="16"/>
      <c r="F26" s="16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1868939911</v>
      </c>
      <c r="F28" s="1">
        <v>1300747135.4000001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919140244</v>
      </c>
      <c r="F29" s="1">
        <v>919140244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919140244</v>
      </c>
      <c r="F30" s="1">
        <v>919140244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919140244</v>
      </c>
      <c r="F31" s="1">
        <v>919140244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919140244</v>
      </c>
      <c r="F32" s="2">
        <v>919140244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216168187</v>
      </c>
      <c r="F33" s="1">
        <v>200632533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216168187</v>
      </c>
      <c r="F34" s="1">
        <v>200632533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216168187</v>
      </c>
      <c r="F35" s="1">
        <v>200632533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216168187</v>
      </c>
      <c r="F36" s="2">
        <v>200632533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733631480</v>
      </c>
      <c r="F37" s="1">
        <v>180974358.40000001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31627480</v>
      </c>
      <c r="F38" s="1">
        <v>32137480</v>
      </c>
    </row>
    <row r="39" spans="1:6" s="13" customFormat="1" ht="14.25" x14ac:dyDescent="0.2">
      <c r="A39" s="14" t="s">
        <v>56</v>
      </c>
      <c r="B39" s="15" t="s">
        <v>55</v>
      </c>
      <c r="C39" s="15" t="s">
        <v>42</v>
      </c>
      <c r="D39" s="15" t="s">
        <v>38</v>
      </c>
      <c r="E39" s="1">
        <v>12048731</v>
      </c>
      <c r="F39" s="1">
        <v>12048731</v>
      </c>
    </row>
    <row r="40" spans="1:6" x14ac:dyDescent="0.25">
      <c r="A40" s="12" t="s">
        <v>57</v>
      </c>
      <c r="B40" s="6" t="s">
        <v>55</v>
      </c>
      <c r="C40" s="6" t="s">
        <v>44</v>
      </c>
      <c r="D40" s="6" t="s">
        <v>58</v>
      </c>
      <c r="E40" s="2">
        <v>12048731</v>
      </c>
      <c r="F40" s="2">
        <v>12048731</v>
      </c>
    </row>
    <row r="41" spans="1:6" s="13" customFormat="1" ht="25.5" x14ac:dyDescent="0.2">
      <c r="A41" s="14" t="s">
        <v>59</v>
      </c>
      <c r="B41" s="15" t="s">
        <v>55</v>
      </c>
      <c r="C41" s="15" t="s">
        <v>60</v>
      </c>
      <c r="D41" s="15" t="s">
        <v>38</v>
      </c>
      <c r="E41" s="1">
        <v>0</v>
      </c>
      <c r="F41" s="1">
        <v>510000</v>
      </c>
    </row>
    <row r="42" spans="1:6" s="13" customFormat="1" ht="25.5" x14ac:dyDescent="0.2">
      <c r="A42" s="14" t="s">
        <v>61</v>
      </c>
      <c r="B42" s="15" t="s">
        <v>55</v>
      </c>
      <c r="C42" s="15" t="s">
        <v>62</v>
      </c>
      <c r="D42" s="15" t="s">
        <v>38</v>
      </c>
      <c r="E42" s="1">
        <v>0</v>
      </c>
      <c r="F42" s="1">
        <v>510000</v>
      </c>
    </row>
    <row r="43" spans="1:6" x14ac:dyDescent="0.25">
      <c r="A43" s="12" t="s">
        <v>63</v>
      </c>
      <c r="B43" s="6" t="s">
        <v>55</v>
      </c>
      <c r="C43" s="6" t="s">
        <v>62</v>
      </c>
      <c r="D43" s="6" t="s">
        <v>64</v>
      </c>
      <c r="E43" s="2">
        <v>0</v>
      </c>
      <c r="F43" s="2">
        <v>510000</v>
      </c>
    </row>
    <row r="44" spans="1:6" s="13" customFormat="1" ht="25.5" x14ac:dyDescent="0.2">
      <c r="A44" s="14" t="s">
        <v>65</v>
      </c>
      <c r="B44" s="15" t="s">
        <v>55</v>
      </c>
      <c r="C44" s="15" t="s">
        <v>66</v>
      </c>
      <c r="D44" s="15" t="s">
        <v>38</v>
      </c>
      <c r="E44" s="1">
        <v>19578749</v>
      </c>
      <c r="F44" s="1">
        <v>19578749</v>
      </c>
    </row>
    <row r="45" spans="1:6" x14ac:dyDescent="0.25">
      <c r="A45" s="12" t="s">
        <v>67</v>
      </c>
      <c r="B45" s="6" t="s">
        <v>55</v>
      </c>
      <c r="C45" s="6" t="s">
        <v>68</v>
      </c>
      <c r="D45" s="6" t="s">
        <v>58</v>
      </c>
      <c r="E45" s="2">
        <v>13678749</v>
      </c>
      <c r="F45" s="2">
        <v>13678749</v>
      </c>
    </row>
    <row r="46" spans="1:6" s="13" customFormat="1" ht="25.5" x14ac:dyDescent="0.2">
      <c r="A46" s="14" t="s">
        <v>69</v>
      </c>
      <c r="B46" s="15" t="s">
        <v>55</v>
      </c>
      <c r="C46" s="15" t="s">
        <v>70</v>
      </c>
      <c r="D46" s="15" t="s">
        <v>38</v>
      </c>
      <c r="E46" s="1">
        <v>5900000</v>
      </c>
      <c r="F46" s="1">
        <v>5900000</v>
      </c>
    </row>
    <row r="47" spans="1:6" ht="25.5" x14ac:dyDescent="0.25">
      <c r="A47" s="12" t="s">
        <v>69</v>
      </c>
      <c r="B47" s="6" t="s">
        <v>55</v>
      </c>
      <c r="C47" s="6" t="s">
        <v>70</v>
      </c>
      <c r="D47" s="6" t="s">
        <v>71</v>
      </c>
      <c r="E47" s="2">
        <v>5900000</v>
      </c>
      <c r="F47" s="2">
        <v>5900000</v>
      </c>
    </row>
    <row r="48" spans="1:6" s="13" customFormat="1" ht="25.5" x14ac:dyDescent="0.2">
      <c r="A48" s="14" t="s">
        <v>72</v>
      </c>
      <c r="B48" s="15" t="s">
        <v>73</v>
      </c>
      <c r="C48" s="15" t="s">
        <v>38</v>
      </c>
      <c r="D48" s="15" t="s">
        <v>38</v>
      </c>
      <c r="E48" s="1">
        <v>0</v>
      </c>
      <c r="F48" s="1">
        <v>146832878.40000001</v>
      </c>
    </row>
    <row r="49" spans="1:6" s="13" customFormat="1" ht="14.25" x14ac:dyDescent="0.2">
      <c r="A49" s="14" t="s">
        <v>74</v>
      </c>
      <c r="B49" s="15" t="s">
        <v>73</v>
      </c>
      <c r="C49" s="15" t="s">
        <v>60</v>
      </c>
      <c r="D49" s="15" t="s">
        <v>38</v>
      </c>
      <c r="E49" s="1">
        <v>0</v>
      </c>
      <c r="F49" s="1">
        <v>146832878.40000001</v>
      </c>
    </row>
    <row r="50" spans="1:6" s="13" customFormat="1" ht="14.25" x14ac:dyDescent="0.2">
      <c r="A50" s="14" t="s">
        <v>75</v>
      </c>
      <c r="B50" s="15" t="s">
        <v>73</v>
      </c>
      <c r="C50" s="15" t="s">
        <v>76</v>
      </c>
      <c r="D50" s="15" t="s">
        <v>38</v>
      </c>
      <c r="E50" s="1">
        <v>0</v>
      </c>
      <c r="F50" s="1">
        <v>146832878.40000001</v>
      </c>
    </row>
    <row r="51" spans="1:6" x14ac:dyDescent="0.25">
      <c r="A51" s="12" t="s">
        <v>77</v>
      </c>
      <c r="B51" s="6" t="s">
        <v>73</v>
      </c>
      <c r="C51" s="6" t="s">
        <v>76</v>
      </c>
      <c r="D51" s="6" t="s">
        <v>46</v>
      </c>
      <c r="E51" s="2">
        <v>0</v>
      </c>
      <c r="F51" s="2">
        <v>146832878.40000001</v>
      </c>
    </row>
    <row r="52" spans="1:6" s="13" customFormat="1" ht="14.25" x14ac:dyDescent="0.2">
      <c r="A52" s="14" t="s">
        <v>78</v>
      </c>
      <c r="B52" s="15" t="s">
        <v>79</v>
      </c>
      <c r="C52" s="15" t="s">
        <v>38</v>
      </c>
      <c r="D52" s="15" t="s">
        <v>38</v>
      </c>
      <c r="E52" s="1">
        <v>702004000</v>
      </c>
      <c r="F52" s="1">
        <v>2004000</v>
      </c>
    </row>
    <row r="53" spans="1:6" s="13" customFormat="1" ht="14.25" x14ac:dyDescent="0.2">
      <c r="A53" s="14" t="s">
        <v>80</v>
      </c>
      <c r="B53" s="15" t="s">
        <v>79</v>
      </c>
      <c r="C53" s="15" t="s">
        <v>49</v>
      </c>
      <c r="D53" s="15" t="s">
        <v>38</v>
      </c>
      <c r="E53" s="1">
        <v>702004000</v>
      </c>
      <c r="F53" s="1">
        <v>2004000</v>
      </c>
    </row>
    <row r="54" spans="1:6" s="13" customFormat="1" ht="14.25" x14ac:dyDescent="0.2">
      <c r="A54" s="14" t="s">
        <v>81</v>
      </c>
      <c r="B54" s="15" t="s">
        <v>79</v>
      </c>
      <c r="C54" s="15" t="s">
        <v>51</v>
      </c>
      <c r="D54" s="15" t="s">
        <v>38</v>
      </c>
      <c r="E54" s="1">
        <v>702004000</v>
      </c>
      <c r="F54" s="1">
        <v>2004000</v>
      </c>
    </row>
    <row r="55" spans="1:6" s="13" customFormat="1" ht="14.25" x14ac:dyDescent="0.2">
      <c r="A55" s="14" t="s">
        <v>80</v>
      </c>
      <c r="B55" s="15" t="s">
        <v>79</v>
      </c>
      <c r="C55" s="15" t="s">
        <v>51</v>
      </c>
      <c r="D55" s="15" t="s">
        <v>46</v>
      </c>
      <c r="E55" s="1">
        <v>702004000</v>
      </c>
      <c r="F55" s="1">
        <v>2004000</v>
      </c>
    </row>
    <row r="56" spans="1:6" x14ac:dyDescent="0.25">
      <c r="A56" s="12" t="s">
        <v>82</v>
      </c>
      <c r="B56" s="6" t="s">
        <v>79</v>
      </c>
      <c r="C56" s="6" t="s">
        <v>51</v>
      </c>
      <c r="D56" s="6" t="s">
        <v>83</v>
      </c>
      <c r="E56" s="2">
        <v>702004000</v>
      </c>
      <c r="F56" s="2">
        <v>2004000</v>
      </c>
    </row>
    <row r="57" spans="1:6" x14ac:dyDescent="0.25">
      <c r="E57" s="10"/>
    </row>
    <row r="59" spans="1:6" x14ac:dyDescent="0.25">
      <c r="A59" s="9" t="s">
        <v>84</v>
      </c>
      <c r="E59" s="17" t="s">
        <v>85</v>
      </c>
      <c r="F59" s="17"/>
    </row>
    <row r="61" spans="1:6" x14ac:dyDescent="0.25">
      <c r="A61" s="9" t="s">
        <v>86</v>
      </c>
      <c r="E61" s="18" t="s">
        <v>87</v>
      </c>
      <c r="F61" s="18"/>
    </row>
  </sheetData>
  <mergeCells count="27"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  <mergeCell ref="A14:E14"/>
    <mergeCell ref="A15:E15"/>
    <mergeCell ref="A16:E16"/>
    <mergeCell ref="A17:E17"/>
    <mergeCell ref="A19:E19"/>
    <mergeCell ref="A26:F26"/>
    <mergeCell ref="E59:F59"/>
    <mergeCell ref="E61:F61"/>
    <mergeCell ref="A18:E18"/>
    <mergeCell ref="A20:E20"/>
    <mergeCell ref="A21:E21"/>
    <mergeCell ref="A22:E22"/>
    <mergeCell ref="A23:E23"/>
    <mergeCell ref="A24:E24"/>
    <mergeCell ref="A25:E25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</vt:lpstr>
      <vt:lpstr>R_112</vt:lpstr>
      <vt:lpstr>R_113</vt:lpstr>
      <vt:lpstr>R_12</vt:lpstr>
      <vt:lpstr>R_14</vt:lpstr>
      <vt:lpstr>R_21</vt:lpstr>
      <vt:lpstr>R_3</vt:lpstr>
      <vt:lpstr>R_4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2026-02-23T14:51:07Z</dcterms:modified>
</cp:coreProperties>
</file>